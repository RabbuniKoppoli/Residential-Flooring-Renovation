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09"/>
  <workbookPr codeName="ThisWorkbook"/>
  <mc:AlternateContent xmlns:mc="http://schemas.openxmlformats.org/markup-compatibility/2006">
    <mc:Choice Requires="x15">
      <x15ac:absPath xmlns:x15ac="http://schemas.microsoft.com/office/spreadsheetml/2010/11/ac" url="C:\Users\mlwat\Dropbox (Personal)\Client Folders\Microsoft\Microsoft Office Template Project\02_Template Sent for MS Review\Rapid Refresh Batch B78\"/>
    </mc:Choice>
  </mc:AlternateContent>
  <xr:revisionPtr revIDLastSave="134" documentId="11_3C4179B01545E19DD6C385890107473B0B440F85" xr6:coauthVersionLast="47" xr6:coauthVersionMax="47" xr10:uidLastSave="{FAE17403-921C-4D3F-9B9A-E74240BF6823}"/>
  <bookViews>
    <workbookView xWindow="-108" yWindow="-108" windowWidth="23256" windowHeight="12720" xr2:uid="{00000000-000D-0000-FFFF-FFFF00000000}"/>
  </bookViews>
  <sheets>
    <sheet name="Project schedule" sheetId="11" r:id="rId1"/>
    <sheet name="About" sheetId="12" r:id="rId2"/>
  </sheets>
  <definedNames>
    <definedName name="Display_Week">'Project schedule'!$O$2</definedName>
    <definedName name="_xlnm.Print_Titles" localSheetId="0">'Project schedule'!$4:$6</definedName>
    <definedName name="Project_Start">'Project schedule'!$O$1</definedName>
    <definedName name="task_end" localSheetId="0">'Project schedule'!$D1</definedName>
    <definedName name="task_progress" localSheetId="0">'Project schedule'!#REF!</definedName>
    <definedName name="task_start" localSheetId="0">'Project schedule'!$C1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1" i="11" l="1"/>
  <c r="C30" i="11"/>
  <c r="D30" i="11" s="1"/>
  <c r="C23" i="11"/>
  <c r="D22" i="11"/>
  <c r="C17" i="11"/>
  <c r="D17" i="11" s="1"/>
  <c r="D16" i="11"/>
  <c r="D12" i="11"/>
  <c r="D13" i="11"/>
  <c r="D11" i="11"/>
  <c r="D10" i="11"/>
  <c r="C9" i="11"/>
  <c r="D9" i="11" s="1"/>
  <c r="F7" i="11"/>
  <c r="C24" i="11" l="1"/>
  <c r="D24" i="11" s="1"/>
  <c r="C25" i="11" s="1"/>
  <c r="D25" i="11" s="1"/>
  <c r="D23" i="11"/>
  <c r="G5" i="11"/>
  <c r="G4" i="11" s="1"/>
  <c r="F32" i="11"/>
  <c r="F26" i="11"/>
  <c r="F21" i="11"/>
  <c r="F15" i="11"/>
  <c r="F8" i="11"/>
  <c r="F22" i="11" l="1"/>
  <c r="F23" i="11"/>
  <c r="C28" i="11"/>
  <c r="D28" i="11" s="1"/>
  <c r="F9" i="11"/>
  <c r="C11" i="11"/>
  <c r="G6" i="11"/>
  <c r="F31" i="11" l="1"/>
  <c r="F28" i="11"/>
  <c r="F30" i="11"/>
  <c r="F27" i="11"/>
  <c r="F10" i="11"/>
  <c r="F24" i="11"/>
  <c r="F16" i="11"/>
  <c r="F13" i="11"/>
  <c r="H5" i="11"/>
  <c r="I5" i="11" s="1"/>
  <c r="J5" i="11" s="1"/>
  <c r="K5" i="11" s="1"/>
  <c r="L5" i="11" s="1"/>
  <c r="M5" i="11" s="1"/>
  <c r="N5" i="11" s="1"/>
  <c r="F29" i="11" l="1"/>
  <c r="F25" i="11"/>
  <c r="F17" i="11"/>
  <c r="C18" i="11"/>
  <c r="F11" i="11"/>
  <c r="F12" i="11"/>
  <c r="N4" i="11"/>
  <c r="O5" i="11"/>
  <c r="P5" i="11" s="1"/>
  <c r="Q5" i="11" s="1"/>
  <c r="R5" i="11" s="1"/>
  <c r="S5" i="11" s="1"/>
  <c r="T5" i="11" s="1"/>
  <c r="U5" i="11" s="1"/>
  <c r="H6" i="11"/>
  <c r="C19" i="11" l="1"/>
  <c r="D18" i="11"/>
  <c r="F18" i="11"/>
  <c r="U4" i="11"/>
  <c r="V5" i="11"/>
  <c r="W5" i="11" s="1"/>
  <c r="X5" i="11" s="1"/>
  <c r="Y5" i="11" s="1"/>
  <c r="Z5" i="11" s="1"/>
  <c r="AA5" i="11" s="1"/>
  <c r="AB5" i="11" s="1"/>
  <c r="I6" i="11"/>
  <c r="D19" i="11" l="1"/>
  <c r="F19" i="11" s="1"/>
  <c r="C20" i="11"/>
  <c r="AC5" i="11"/>
  <c r="AD5" i="11" s="1"/>
  <c r="AE5" i="11" s="1"/>
  <c r="AF5" i="11" s="1"/>
  <c r="AG5" i="11" s="1"/>
  <c r="AH5" i="11" s="1"/>
  <c r="AB4" i="11"/>
  <c r="J6" i="11"/>
  <c r="D20" i="11" l="1"/>
  <c r="F20" i="11"/>
  <c r="AI5" i="11"/>
  <c r="AJ5" i="11" s="1"/>
  <c r="AK5" i="11" s="1"/>
  <c r="AL5" i="11" s="1"/>
  <c r="AM5" i="11" s="1"/>
  <c r="AN5" i="11" s="1"/>
  <c r="AO5" i="11" s="1"/>
  <c r="K6" i="11"/>
  <c r="AP5" i="11" l="1"/>
  <c r="AQ5" i="11" s="1"/>
  <c r="AI4" i="11"/>
  <c r="L6" i="11"/>
  <c r="AR5" i="11" l="1"/>
  <c r="AQ6" i="11"/>
  <c r="AP4" i="11"/>
  <c r="M6" i="11"/>
  <c r="AS5" i="11" l="1"/>
  <c r="AR6" i="11"/>
  <c r="AT5" i="11" l="1"/>
  <c r="AS6" i="11"/>
  <c r="N6" i="11"/>
  <c r="O6" i="11"/>
  <c r="AU5" i="11" l="1"/>
  <c r="AT6" i="11"/>
  <c r="P6" i="11"/>
  <c r="AV5" i="11" l="1"/>
  <c r="AW5" i="11" s="1"/>
  <c r="AU6" i="11"/>
  <c r="Q6" i="11"/>
  <c r="AW6" i="11" l="1"/>
  <c r="AX5" i="11"/>
  <c r="AW4" i="11"/>
  <c r="AV6" i="11"/>
  <c r="R6" i="11"/>
  <c r="AY5" i="11" l="1"/>
  <c r="AX6" i="11"/>
  <c r="S6" i="11"/>
  <c r="AY6" i="11" l="1"/>
  <c r="AZ5" i="11"/>
  <c r="T6" i="11"/>
  <c r="AZ6" i="11" l="1"/>
  <c r="BA5" i="11"/>
  <c r="U6" i="11"/>
  <c r="BA6" i="11" l="1"/>
  <c r="BB5" i="11"/>
  <c r="V6" i="11"/>
  <c r="BC5" i="11" l="1"/>
  <c r="BB6" i="11"/>
  <c r="W6" i="11"/>
  <c r="BC6" i="11" l="1"/>
  <c r="BD5" i="11"/>
  <c r="X6" i="11"/>
  <c r="BD6" i="11" l="1"/>
  <c r="BE5" i="11"/>
  <c r="BD4" i="11"/>
  <c r="Y6" i="11"/>
  <c r="BE6" i="11" l="1"/>
  <c r="BF5" i="11"/>
  <c r="Z6" i="11"/>
  <c r="BG5" i="11" l="1"/>
  <c r="BF6" i="11"/>
  <c r="AA6" i="11"/>
  <c r="BH5" i="11" l="1"/>
  <c r="BG6" i="11"/>
  <c r="AB6" i="11"/>
  <c r="BI5" i="11" l="1"/>
  <c r="BH6" i="11"/>
  <c r="AC6" i="11"/>
  <c r="BJ5" i="11" l="1"/>
  <c r="BI6" i="11"/>
  <c r="AD6" i="11"/>
  <c r="BJ6" i="11" l="1"/>
  <c r="AE6" i="11"/>
  <c r="AF6" i="11" l="1"/>
  <c r="AG6" i="11" l="1"/>
  <c r="AH6" i="11" l="1"/>
  <c r="AI6" i="11" l="1"/>
  <c r="AJ6" i="11" l="1"/>
  <c r="AK6" i="11" l="1"/>
  <c r="AL6" i="11" l="1"/>
  <c r="AM6" i="11" l="1"/>
  <c r="AN6" i="11" l="1"/>
  <c r="AO6" i="11" l="1"/>
  <c r="AP6" i="11" l="1"/>
</calcChain>
</file>

<file path=xl/sharedStrings.xml><?xml version="1.0" encoding="utf-8"?>
<sst xmlns="http://schemas.openxmlformats.org/spreadsheetml/2006/main" count="45" uniqueCount="45">
  <si>
    <t xml:space="preserve">Gantt chart </t>
  </si>
  <si>
    <t>Project start:</t>
  </si>
  <si>
    <t xml:space="preserve"> Residential Flooring Renovation Project</t>
  </si>
  <si>
    <t>Display week:</t>
  </si>
  <si>
    <t>TASK</t>
  </si>
  <si>
    <t>START</t>
  </si>
  <si>
    <t>END</t>
  </si>
  <si>
    <t xml:space="preserve">Do not delete this row. This row is hidden to preserve a formula that is used to highlight the current day within the project schedule. </t>
  </si>
  <si>
    <t>1.Project Initiation and Planning</t>
  </si>
  <si>
    <t>Client meeting</t>
  </si>
  <si>
    <t>Site Inspection</t>
  </si>
  <si>
    <t>Measurements</t>
  </si>
  <si>
    <t>Set Budget &amp; Obtain permits</t>
  </si>
  <si>
    <t>Time and Resource management</t>
  </si>
  <si>
    <t>2. Preparation</t>
  </si>
  <si>
    <t>Clearing work area</t>
  </si>
  <si>
    <t>Remove old flooring</t>
  </si>
  <si>
    <t>Inspection and repair subflooring</t>
  </si>
  <si>
    <t>Layout tile pattern</t>
  </si>
  <si>
    <t>Mark reference lines</t>
  </si>
  <si>
    <t>3. Installation</t>
  </si>
  <si>
    <t>Applying adhesive to subfloor</t>
  </si>
  <si>
    <t>Laying tiles</t>
  </si>
  <si>
    <t>Cut tiles to fit corners</t>
  </si>
  <si>
    <t>Grouting &amp; Sealing</t>
  </si>
  <si>
    <t>4. Post Installation</t>
  </si>
  <si>
    <t>Dispose old floor</t>
  </si>
  <si>
    <t>Check for defects and make necessary repairs</t>
  </si>
  <si>
    <t>5. Project closure</t>
  </si>
  <si>
    <t>Review project with client</t>
  </si>
  <si>
    <t>Ensure satisfaction with client &amp; Gather feedback</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</si>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</sst>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sz val="11"/>
      <color theme="1"/>
      <name val="Arial Black"/>
      <family val="2"/>
      <scheme val="major"/>
    </font>
    <font>
      <sz val="11"/>
      <color rgb="FF1D2129"/>
      <name val="Arial"/>
      <family val="2"/>
      <scheme val="minor"/>
    </font>
    <font>
      <u/>
      <sz val="11"/>
      <color indexed="12"/>
      <name val="Arial"/>
      <family val="2"/>
      <scheme val="minor"/>
    </font>
    <font>
      <b/>
      <sz val="40"/>
      <color rgb="FF000000"/>
      <name val="Times New Roman"/>
    </font>
    <font>
      <b/>
      <sz val="16"/>
      <color theme="1"/>
      <name val="Arial Black"/>
      <family val="2"/>
      <scheme val="major"/>
    </font>
    <font>
      <b/>
      <sz val="16"/>
      <color rgb="FF000000"/>
      <name val="Times New Roman"/>
    </font>
    <font>
      <sz val="12"/>
      <color rgb="FF000000"/>
      <name val="Times New Roman"/>
    </font>
    <font>
      <b/>
      <sz val="12"/>
      <color rgb="FF000000"/>
      <name val="Times New Roman"/>
    </font>
    <font>
      <b/>
      <sz val="14"/>
      <color rgb="FF000000"/>
      <name val="Times New Roman"/>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0"/>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2">
    <xf numFmtId="0" fontId="0" fillId="0" borderId="0"/>
    <xf numFmtId="0" fontId="2" fillId="0" borderId="0" applyNumberFormat="0" applyFill="0" applyBorder="0" applyAlignment="0" applyProtection="0">
      <alignment vertical="top"/>
      <protection locked="0"/>
    </xf>
    <xf numFmtId="0" fontId="11"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90">
    <xf numFmtId="0" fontId="0" fillId="0" borderId="0" xfId="0"/>
    <xf numFmtId="0" fontId="1" fillId="0" borderId="0" xfId="0" applyFont="1"/>
    <xf numFmtId="0" fontId="0" fillId="0" borderId="0" xfId="0" applyAlignment="1">
      <alignment horizontal="center"/>
    </xf>
    <xf numFmtId="0" fontId="3" fillId="0" borderId="1" xfId="0" applyFont="1" applyBorder="1" applyAlignment="1">
      <alignment horizontal="center" vertical="center"/>
    </xf>
    <xf numFmtId="0" fontId="1" fillId="0" borderId="0" xfId="0" applyFont="1" applyAlignment="1">
      <alignment vertical="top"/>
    </xf>
    <xf numFmtId="0" fontId="7" fillId="0" borderId="0" xfId="0" applyFont="1" applyAlignment="1">
      <alignment horizontal="left" vertical="center"/>
    </xf>
    <xf numFmtId="0" fontId="8" fillId="0" borderId="0" xfId="0" applyFont="1" applyAlignment="1">
      <alignment horizontal="left" vertical="center"/>
    </xf>
    <xf numFmtId="0" fontId="10" fillId="0" borderId="0" xfId="0" applyFont="1"/>
    <xf numFmtId="0" fontId="1" fillId="0" borderId="0" xfId="0" applyFont="1" applyAlignment="1">
      <alignment horizontal="left" vertical="top"/>
    </xf>
    <xf numFmtId="0" fontId="9" fillId="0" borderId="0" xfId="0" applyFont="1" applyAlignment="1">
      <alignment vertical="top"/>
    </xf>
    <xf numFmtId="0" fontId="11" fillId="0" borderId="0" xfId="2"/>
    <xf numFmtId="0" fontId="11" fillId="0" borderId="0" xfId="2" applyAlignment="1">
      <alignment wrapText="1"/>
    </xf>
    <xf numFmtId="0" fontId="11" fillId="0" borderId="0" xfId="0" applyFont="1" applyAlignment="1">
      <alignment horizontal="center"/>
    </xf>
    <xf numFmtId="0" fontId="3" fillId="0" borderId="0" xfId="0" applyFont="1" applyAlignment="1">
      <alignment horizontal="center" vertical="center"/>
    </xf>
    <xf numFmtId="0" fontId="12" fillId="0" borderId="0" xfId="0" applyFont="1" applyAlignment="1">
      <alignment horizontal="center"/>
    </xf>
    <xf numFmtId="0" fontId="12" fillId="0" borderId="0" xfId="0" applyFont="1" applyAlignment="1">
      <alignment horizontal="center" vertical="center"/>
    </xf>
    <xf numFmtId="0" fontId="13" fillId="0" borderId="0" xfId="0" applyFont="1"/>
    <xf numFmtId="0" fontId="13" fillId="0" borderId="0" xfId="0" applyFont="1" applyAlignment="1">
      <alignment horizontal="center"/>
    </xf>
    <xf numFmtId="0" fontId="14" fillId="0" borderId="0" xfId="0" applyFont="1"/>
    <xf numFmtId="0" fontId="15" fillId="0" borderId="0" xfId="0" applyFont="1" applyAlignment="1">
      <alignment horizontal="left" indent="1"/>
    </xf>
    <xf numFmtId="0" fontId="4" fillId="0" borderId="0" xfId="0" applyFont="1"/>
    <xf numFmtId="0" fontId="1" fillId="0" borderId="0" xfId="1" applyFont="1" applyAlignment="1" applyProtection="1">
      <alignment horizontal="left" vertical="top" indent="1"/>
    </xf>
    <xf numFmtId="0" fontId="4" fillId="0" borderId="0" xfId="0" applyFont="1" applyAlignment="1">
      <alignment horizontal="left" indent="1"/>
    </xf>
    <xf numFmtId="167" fontId="18" fillId="12" borderId="20" xfId="0" applyNumberFormat="1" applyFont="1" applyFill="1" applyBorder="1" applyAlignment="1">
      <alignment horizontal="center" vertical="center"/>
    </xf>
    <xf numFmtId="167" fontId="18" fillId="12" borderId="18" xfId="0" applyNumberFormat="1" applyFont="1" applyFill="1" applyBorder="1" applyAlignment="1">
      <alignment horizontal="center" vertical="center"/>
    </xf>
    <xf numFmtId="167" fontId="18" fillId="12" borderId="19" xfId="0" applyNumberFormat="1" applyFont="1" applyFill="1" applyBorder="1" applyAlignment="1">
      <alignment horizontal="center" vertical="center"/>
    </xf>
    <xf numFmtId="0" fontId="19" fillId="2" borderId="17" xfId="0" applyFont="1" applyFill="1" applyBorder="1" applyAlignment="1">
      <alignment horizontal="center" vertical="center" shrinkToFit="1"/>
    </xf>
    <xf numFmtId="0" fontId="19" fillId="2" borderId="14" xfId="0" applyFont="1" applyFill="1" applyBorder="1" applyAlignment="1">
      <alignment horizontal="center" vertical="center" shrinkToFit="1"/>
    </xf>
    <xf numFmtId="0" fontId="19" fillId="2" borderId="15" xfId="0" applyFont="1" applyFill="1" applyBorder="1" applyAlignment="1">
      <alignment horizontal="center" vertical="center" shrinkToFit="1"/>
    </xf>
    <xf numFmtId="0" fontId="16" fillId="0" borderId="0" xfId="0" applyFont="1"/>
    <xf numFmtId="0" fontId="4" fillId="0" borderId="3" xfId="0" applyFont="1" applyBorder="1" applyAlignment="1">
      <alignment vertical="center"/>
    </xf>
    <xf numFmtId="164" fontId="16"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164" fontId="16" fillId="3" borderId="6" xfId="9" applyFont="1" applyFill="1" applyBorder="1">
      <alignment horizontal="center" vertical="center"/>
    </xf>
    <xf numFmtId="0" fontId="4" fillId="0" borderId="4" xfId="0" applyFont="1" applyBorder="1" applyAlignment="1">
      <alignment vertical="center"/>
    </xf>
    <xf numFmtId="164" fontId="16" fillId="3" borderId="7" xfId="9" applyFont="1" applyFill="1" applyBorder="1">
      <alignment horizontal="center" vertical="center"/>
    </xf>
    <xf numFmtId="0" fontId="4" fillId="0" borderId="4" xfId="0" applyFont="1" applyBorder="1" applyAlignment="1">
      <alignment horizontal="right" vertical="center"/>
    </xf>
    <xf numFmtId="164" fontId="16"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164" fontId="16" fillId="4" borderId="5" xfId="9" applyFont="1" applyFill="1" applyBorder="1">
      <alignment horizontal="center" vertical="center"/>
    </xf>
    <xf numFmtId="0" fontId="20" fillId="8" borderId="0" xfId="0" applyFont="1" applyFill="1" applyAlignment="1">
      <alignment horizontal="left" vertical="center" indent="1"/>
    </xf>
    <xf numFmtId="164" fontId="16"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164" fontId="16" fillId="5" borderId="8" xfId="9" applyFont="1" applyFill="1" applyBorder="1">
      <alignment horizontal="center" vertical="center"/>
    </xf>
    <xf numFmtId="0" fontId="20" fillId="9" borderId="0" xfId="0" applyFont="1" applyFill="1" applyAlignment="1">
      <alignment horizontal="left" vertical="center" indent="1"/>
    </xf>
    <xf numFmtId="164" fontId="16"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164" fontId="16" fillId="10" borderId="9" xfId="9" applyFont="1" applyFill="1" applyBorder="1">
      <alignment horizontal="center" vertical="center"/>
    </xf>
    <xf numFmtId="0" fontId="16" fillId="0" borderId="0" xfId="11" applyFont="1" applyBorder="1">
      <alignment horizontal="left" vertical="center" indent="2"/>
    </xf>
    <xf numFmtId="164" fontId="16" fillId="0" borderId="0" xfId="9" applyFont="1" applyBorder="1">
      <alignment horizontal="center" vertical="center"/>
    </xf>
    <xf numFmtId="0" fontId="7" fillId="0" borderId="0" xfId="0" applyFont="1" applyAlignment="1">
      <alignment horizontal="left" vertical="center" indent="1"/>
    </xf>
    <xf numFmtId="0" fontId="3" fillId="0" borderId="0" xfId="0" applyFont="1" applyAlignment="1">
      <alignment horizontal="left" vertical="top" indent="1"/>
    </xf>
    <xf numFmtId="0" fontId="21" fillId="0" borderId="0" xfId="0" applyFont="1" applyAlignment="1">
      <alignment horizontal="left" vertical="center" indent="1"/>
    </xf>
    <xf numFmtId="0" fontId="23" fillId="0" borderId="0" xfId="0" applyFont="1" applyAlignment="1">
      <alignment horizontal="left" vertical="top" wrapText="1" indent="1"/>
    </xf>
    <xf numFmtId="0" fontId="0" fillId="0" borderId="0" xfId="0" applyAlignment="1">
      <alignment horizontal="left" vertical="top" wrapText="1" indent="1"/>
    </xf>
    <xf numFmtId="0" fontId="24" fillId="0" borderId="0" xfId="1" applyFont="1" applyAlignment="1" applyProtection="1">
      <alignment horizontal="left" vertical="top" indent="1"/>
    </xf>
    <xf numFmtId="0" fontId="1" fillId="0" borderId="0" xfId="0" applyFont="1" applyAlignment="1">
      <alignment horizontal="left" vertical="top" indent="1"/>
    </xf>
    <xf numFmtId="0" fontId="25" fillId="0" borderId="0" xfId="4" applyFont="1" applyAlignment="1">
      <alignment horizontal="left"/>
    </xf>
    <xf numFmtId="0" fontId="28" fillId="3" borderId="6" xfId="11" applyFont="1" applyFill="1" applyBorder="1">
      <alignment horizontal="left" vertical="center" indent="2"/>
    </xf>
    <xf numFmtId="0" fontId="28" fillId="3" borderId="7" xfId="11" applyFont="1" applyFill="1" applyBorder="1">
      <alignment horizontal="left" vertical="center" indent="2"/>
    </xf>
    <xf numFmtId="0" fontId="28" fillId="3" borderId="0" xfId="11" applyFont="1" applyFill="1" applyBorder="1">
      <alignment horizontal="left" vertical="center" indent="2"/>
    </xf>
    <xf numFmtId="164" fontId="16" fillId="3" borderId="0" xfId="9" applyFont="1" applyFill="1" applyBorder="1">
      <alignment horizontal="center" vertical="center"/>
    </xf>
    <xf numFmtId="0" fontId="11" fillId="13" borderId="0" xfId="2" applyFill="1"/>
    <xf numFmtId="0" fontId="29" fillId="7" borderId="0" xfId="0" applyFont="1" applyFill="1" applyAlignment="1">
      <alignment horizontal="left" vertical="center" indent="1"/>
    </xf>
    <xf numFmtId="0" fontId="29" fillId="6" borderId="0" xfId="0" applyFont="1" applyFill="1" applyAlignment="1">
      <alignment horizontal="left" vertical="center" indent="1"/>
    </xf>
    <xf numFmtId="0" fontId="0" fillId="13" borderId="0" xfId="0" applyFill="1"/>
    <xf numFmtId="0" fontId="0" fillId="13" borderId="0" xfId="0" applyFill="1" applyAlignment="1">
      <alignment horizontal="center"/>
    </xf>
    <xf numFmtId="0" fontId="0" fillId="13" borderId="0" xfId="0" applyFill="1" applyAlignment="1">
      <alignment horizontal="right" vertical="center"/>
    </xf>
    <xf numFmtId="0" fontId="28" fillId="4" borderId="5" xfId="11" applyFont="1" applyFill="1" applyBorder="1">
      <alignment horizontal="left" vertical="center" indent="2"/>
    </xf>
    <xf numFmtId="0" fontId="28" fillId="5" borderId="8" xfId="11" applyFont="1" applyFill="1" applyBorder="1">
      <alignment horizontal="left" vertical="center" indent="2"/>
    </xf>
    <xf numFmtId="0" fontId="28" fillId="10" borderId="9" xfId="11" applyFont="1" applyFill="1" applyBorder="1">
      <alignment horizontal="left" vertical="center" indent="2"/>
    </xf>
    <xf numFmtId="0" fontId="29" fillId="10" borderId="9" xfId="11" applyFont="1" applyFill="1" applyBorder="1">
      <alignment horizontal="left" vertical="center" indent="2"/>
    </xf>
    <xf numFmtId="0" fontId="11" fillId="0" borderId="0" xfId="2" applyAlignment="1">
      <alignment wrapText="1"/>
    </xf>
    <xf numFmtId="0" fontId="17"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7" fillId="11" borderId="16" xfId="0" applyFont="1" applyFill="1" applyBorder="1" applyAlignment="1">
      <alignment horizontal="center" vertical="center"/>
    </xf>
    <xf numFmtId="0" fontId="26" fillId="0" borderId="0" xfId="0" applyFont="1" applyAlignment="1">
      <alignment horizontal="left"/>
    </xf>
    <xf numFmtId="165" fontId="26" fillId="0" borderId="0" xfId="8" applyFont="1" applyBorder="1" applyAlignment="1">
      <alignment horizontal="left"/>
    </xf>
    <xf numFmtId="0" fontId="27" fillId="0" borderId="0" xfId="7" applyFont="1" applyAlignment="1">
      <alignment horizontal="left"/>
    </xf>
    <xf numFmtId="166" fontId="16" fillId="2" borderId="13" xfId="0" applyNumberFormat="1" applyFont="1" applyFill="1" applyBorder="1" applyAlignment="1">
      <alignment horizontal="center" vertical="center" wrapText="1"/>
    </xf>
    <xf numFmtId="166" fontId="16" fillId="2" borderId="19" xfId="0" applyNumberFormat="1" applyFont="1" applyFill="1" applyBorder="1" applyAlignment="1">
      <alignment horizontal="center" vertical="center" wrapText="1"/>
    </xf>
    <xf numFmtId="166" fontId="16" fillId="2" borderId="18" xfId="0" applyNumberFormat="1" applyFont="1" applyFill="1" applyBorder="1" applyAlignment="1">
      <alignment horizontal="center" vertical="center" wrapText="1"/>
    </xf>
    <xf numFmtId="0" fontId="30" fillId="0" borderId="0" xfId="5" applyFont="1" applyAlignment="1">
      <alignment horizontal="left" vertical="center" indent="1"/>
    </xf>
    <xf numFmtId="0" fontId="4" fillId="0" borderId="0" xfId="0" applyFont="1" applyAlignment="1"/>
    <xf numFmtId="0" fontId="22" fillId="0" borderId="0" xfId="0" applyFont="1" applyAlignment="1"/>
    <xf numFmtId="0" fontId="4" fillId="2" borderId="21" xfId="0" applyFont="1" applyFill="1" applyBorder="1" applyAlignment="1"/>
  </cellXfs>
  <cellStyles count="12">
    <cellStyle name="Comma" xfId="3" builtinId="3" customBuiltin="1"/>
    <cellStyle name="Date" xfId="9" xr:uid="{229918B6-DD13-4F5A-97B9-305F7E002AA3}"/>
    <cellStyle name="Heading 1" xfId="5" builtinId="16" customBuiltin="1"/>
    <cellStyle name="Heading 2" xfId="6" builtinId="17" customBuiltin="1"/>
    <cellStyle name="Heading 3" xfId="7" builtinId="18" customBuiltin="1"/>
    <cellStyle name="Hyperlink" xfId="1" builtinId="8" customBuiltin="1"/>
    <cellStyle name="Name" xfId="10" xr:uid="{B2D3C1EE-6B41-4801-AAFC-C2274E49E503}"/>
    <cellStyle name="Normal" xfId="0" builtinId="0"/>
    <cellStyle name="Project Start" xfId="8" xr:uid="{8EB8A09A-C31C-40A3-B2C1-9449520178B8}"/>
    <cellStyle name="Task" xfId="11" xr:uid="{6391D789-272B-4DD2-9BF3-2CDCF610FA41}"/>
    <cellStyle name="Title" xfId="4" builtinId="15" customBuiltin="1"/>
    <cellStyle name="zHiddenText" xfId="2" xr:uid="{26E66EE6-E33F-4D77-BAE4-0FB4F5BBF673}"/>
  </cellStyles>
  <dxfs count="18">
    <dxf>
      <border>
        <left style="thin">
          <color theme="5"/>
        </left>
        <right style="thin">
          <color theme="5"/>
        </right>
        <vertical/>
        <horizontal/>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J34"/>
  <sheetViews>
    <sheetView showGridLines="0" tabSelected="1" showRuler="0" zoomScaleNormal="100" zoomScalePageLayoutView="70" workbookViewId="0">
      <selection activeCell="B4" sqref="B4"/>
    </sheetView>
  </sheetViews>
  <sheetFormatPr defaultColWidth="8.75" defaultRowHeight="30" customHeight="1"/>
  <cols>
    <col min="1" max="1" width="2.75" style="10" customWidth="1"/>
    <col min="2" max="2" width="49.25" customWidth="1"/>
    <col min="3" max="3" width="10.75" style="2" customWidth="1"/>
    <col min="4" max="4" width="23.75" customWidth="1"/>
    <col min="5" max="5" width="2.75" customWidth="1"/>
    <col min="6" max="6" width="6" hidden="1" customWidth="1"/>
    <col min="7" max="63" width="2.75" customWidth="1"/>
  </cols>
  <sheetData>
    <row r="1" spans="1:62" ht="90" customHeight="1">
      <c r="A1" s="11"/>
      <c r="B1" s="61" t="s">
        <v>0</v>
      </c>
      <c r="C1" s="14"/>
      <c r="D1" s="15"/>
      <c r="F1" s="1"/>
      <c r="G1" s="82" t="s">
        <v>1</v>
      </c>
      <c r="H1" s="87"/>
      <c r="I1" s="87"/>
      <c r="J1" s="87"/>
      <c r="K1" s="87"/>
      <c r="L1" s="87"/>
      <c r="M1" s="87"/>
      <c r="N1" s="18"/>
      <c r="O1" s="81">
        <v>45505</v>
      </c>
      <c r="P1" s="88"/>
      <c r="Q1" s="88"/>
      <c r="R1" s="88"/>
      <c r="S1" s="88"/>
      <c r="T1" s="88"/>
      <c r="U1" s="88"/>
      <c r="V1" s="88"/>
      <c r="W1" s="88"/>
      <c r="X1" s="88"/>
    </row>
    <row r="2" spans="1:62" ht="30" customHeight="1">
      <c r="B2" s="86" t="s">
        <v>2</v>
      </c>
      <c r="C2" s="17"/>
      <c r="D2" s="16"/>
      <c r="G2" s="82" t="s">
        <v>3</v>
      </c>
      <c r="H2" s="87"/>
      <c r="I2" s="87"/>
      <c r="J2" s="87"/>
      <c r="K2" s="87"/>
      <c r="L2" s="87"/>
      <c r="M2" s="87"/>
      <c r="N2" s="18"/>
      <c r="O2" s="80">
        <v>1</v>
      </c>
      <c r="P2" s="88"/>
      <c r="Q2" s="88"/>
      <c r="R2" s="88"/>
      <c r="S2" s="88"/>
      <c r="T2" s="88"/>
      <c r="U2" s="88"/>
      <c r="V2" s="88"/>
      <c r="W2" s="88"/>
      <c r="X2" s="88"/>
    </row>
    <row r="3" spans="1:62" s="20" customFormat="1" ht="30" customHeight="1">
      <c r="A3" s="10"/>
      <c r="B3" s="19"/>
      <c r="C3" s="19"/>
      <c r="D3" s="19"/>
    </row>
    <row r="4" spans="1:62" s="20" customFormat="1" ht="30" customHeight="1">
      <c r="A4" s="11"/>
      <c r="B4" s="21"/>
      <c r="C4" s="22"/>
      <c r="G4" s="85">
        <f>G5</f>
        <v>45502</v>
      </c>
      <c r="H4" s="83"/>
      <c r="I4" s="83"/>
      <c r="J4" s="83"/>
      <c r="K4" s="83"/>
      <c r="L4" s="83"/>
      <c r="M4" s="83"/>
      <c r="N4" s="83">
        <f>N5</f>
        <v>45509</v>
      </c>
      <c r="O4" s="83"/>
      <c r="P4" s="83"/>
      <c r="Q4" s="83"/>
      <c r="R4" s="83"/>
      <c r="S4" s="83"/>
      <c r="T4" s="83"/>
      <c r="U4" s="83">
        <f>U5</f>
        <v>45516</v>
      </c>
      <c r="V4" s="83"/>
      <c r="W4" s="83"/>
      <c r="X4" s="83"/>
      <c r="Y4" s="83"/>
      <c r="Z4" s="83"/>
      <c r="AA4" s="83"/>
      <c r="AB4" s="83">
        <f>AB5</f>
        <v>45523</v>
      </c>
      <c r="AC4" s="83"/>
      <c r="AD4" s="83"/>
      <c r="AE4" s="83"/>
      <c r="AF4" s="83"/>
      <c r="AG4" s="83"/>
      <c r="AH4" s="83"/>
      <c r="AI4" s="83">
        <f>AI5</f>
        <v>45530</v>
      </c>
      <c r="AJ4" s="83"/>
      <c r="AK4" s="83"/>
      <c r="AL4" s="83"/>
      <c r="AM4" s="83"/>
      <c r="AN4" s="83"/>
      <c r="AO4" s="83"/>
      <c r="AP4" s="83">
        <f>AP5</f>
        <v>45537</v>
      </c>
      <c r="AQ4" s="83"/>
      <c r="AR4" s="83"/>
      <c r="AS4" s="83"/>
      <c r="AT4" s="83"/>
      <c r="AU4" s="83"/>
      <c r="AV4" s="83"/>
      <c r="AW4" s="83">
        <f>AW5</f>
        <v>45544</v>
      </c>
      <c r="AX4" s="83"/>
      <c r="AY4" s="83"/>
      <c r="AZ4" s="83"/>
      <c r="BA4" s="83"/>
      <c r="BB4" s="83"/>
      <c r="BC4" s="83"/>
      <c r="BD4" s="83">
        <f>BD5</f>
        <v>45551</v>
      </c>
      <c r="BE4" s="83"/>
      <c r="BF4" s="83"/>
      <c r="BG4" s="83"/>
      <c r="BH4" s="83"/>
      <c r="BI4" s="83"/>
      <c r="BJ4" s="84"/>
    </row>
    <row r="5" spans="1:62" s="20" customFormat="1" ht="15" customHeight="1">
      <c r="A5" s="76"/>
      <c r="B5" s="77" t="s">
        <v>4</v>
      </c>
      <c r="C5" s="79" t="s">
        <v>5</v>
      </c>
      <c r="D5" s="79" t="s">
        <v>6</v>
      </c>
      <c r="G5" s="23">
        <f>Project_Start-WEEKDAY(Project_Start,1)+2+7*(Display_Week-1)</f>
        <v>45502</v>
      </c>
      <c r="H5" s="23">
        <f>G5+1</f>
        <v>45503</v>
      </c>
      <c r="I5" s="23">
        <f t="shared" ref="I5:AV5" si="0">H5+1</f>
        <v>45504</v>
      </c>
      <c r="J5" s="23">
        <f t="shared" si="0"/>
        <v>45505</v>
      </c>
      <c r="K5" s="23">
        <f t="shared" si="0"/>
        <v>45506</v>
      </c>
      <c r="L5" s="23">
        <f t="shared" si="0"/>
        <v>45507</v>
      </c>
      <c r="M5" s="24">
        <f t="shared" si="0"/>
        <v>45508</v>
      </c>
      <c r="N5" s="25">
        <f>M5+1</f>
        <v>45509</v>
      </c>
      <c r="O5" s="23">
        <f>N5+1</f>
        <v>45510</v>
      </c>
      <c r="P5" s="23">
        <f t="shared" si="0"/>
        <v>45511</v>
      </c>
      <c r="Q5" s="23">
        <f t="shared" si="0"/>
        <v>45512</v>
      </c>
      <c r="R5" s="23">
        <f t="shared" si="0"/>
        <v>45513</v>
      </c>
      <c r="S5" s="23">
        <f t="shared" si="0"/>
        <v>45514</v>
      </c>
      <c r="T5" s="24">
        <f t="shared" si="0"/>
        <v>45515</v>
      </c>
      <c r="U5" s="25">
        <f>T5+1</f>
        <v>45516</v>
      </c>
      <c r="V5" s="23">
        <f>U5+1</f>
        <v>45517</v>
      </c>
      <c r="W5" s="23">
        <f t="shared" si="0"/>
        <v>45518</v>
      </c>
      <c r="X5" s="23">
        <f t="shared" si="0"/>
        <v>45519</v>
      </c>
      <c r="Y5" s="23">
        <f t="shared" si="0"/>
        <v>45520</v>
      </c>
      <c r="Z5" s="23">
        <f t="shared" si="0"/>
        <v>45521</v>
      </c>
      <c r="AA5" s="24">
        <f t="shared" si="0"/>
        <v>45522</v>
      </c>
      <c r="AB5" s="25">
        <f>AA5+1</f>
        <v>45523</v>
      </c>
      <c r="AC5" s="23">
        <f>AB5+1</f>
        <v>45524</v>
      </c>
      <c r="AD5" s="23">
        <f t="shared" si="0"/>
        <v>45525</v>
      </c>
      <c r="AE5" s="23">
        <f t="shared" si="0"/>
        <v>45526</v>
      </c>
      <c r="AF5" s="23">
        <f t="shared" si="0"/>
        <v>45527</v>
      </c>
      <c r="AG5" s="23">
        <f t="shared" si="0"/>
        <v>45528</v>
      </c>
      <c r="AH5" s="24">
        <f t="shared" si="0"/>
        <v>45529</v>
      </c>
      <c r="AI5" s="25">
        <f>AH5+1</f>
        <v>45530</v>
      </c>
      <c r="AJ5" s="23">
        <f>AI5+1</f>
        <v>45531</v>
      </c>
      <c r="AK5" s="23">
        <f t="shared" si="0"/>
        <v>45532</v>
      </c>
      <c r="AL5" s="23">
        <f t="shared" si="0"/>
        <v>45533</v>
      </c>
      <c r="AM5" s="23">
        <f t="shared" si="0"/>
        <v>45534</v>
      </c>
      <c r="AN5" s="23">
        <f t="shared" si="0"/>
        <v>45535</v>
      </c>
      <c r="AO5" s="24">
        <f t="shared" si="0"/>
        <v>45536</v>
      </c>
      <c r="AP5" s="25">
        <f>AO5+1</f>
        <v>45537</v>
      </c>
      <c r="AQ5" s="23">
        <f>AP5+1</f>
        <v>45538</v>
      </c>
      <c r="AR5" s="23">
        <f t="shared" si="0"/>
        <v>45539</v>
      </c>
      <c r="AS5" s="23">
        <f t="shared" si="0"/>
        <v>45540</v>
      </c>
      <c r="AT5" s="23">
        <f t="shared" si="0"/>
        <v>45541</v>
      </c>
      <c r="AU5" s="23">
        <f t="shared" si="0"/>
        <v>45542</v>
      </c>
      <c r="AV5" s="24">
        <f t="shared" si="0"/>
        <v>45543</v>
      </c>
      <c r="AW5" s="25">
        <f>AV5+1</f>
        <v>45544</v>
      </c>
      <c r="AX5" s="23">
        <f>AW5+1</f>
        <v>45545</v>
      </c>
      <c r="AY5" s="23">
        <f t="shared" ref="AY5:BC5" si="1">AX5+1</f>
        <v>45546</v>
      </c>
      <c r="AZ5" s="23">
        <f t="shared" si="1"/>
        <v>45547</v>
      </c>
      <c r="BA5" s="23">
        <f t="shared" si="1"/>
        <v>45548</v>
      </c>
      <c r="BB5" s="23">
        <f t="shared" si="1"/>
        <v>45549</v>
      </c>
      <c r="BC5" s="24">
        <f t="shared" si="1"/>
        <v>45550</v>
      </c>
      <c r="BD5" s="25">
        <f>BC5+1</f>
        <v>45551</v>
      </c>
      <c r="BE5" s="23">
        <f>BD5+1</f>
        <v>45552</v>
      </c>
      <c r="BF5" s="23">
        <f t="shared" ref="BF5:BJ5" si="2">BE5+1</f>
        <v>45553</v>
      </c>
      <c r="BG5" s="23">
        <f t="shared" si="2"/>
        <v>45554</v>
      </c>
      <c r="BH5" s="23">
        <f t="shared" si="2"/>
        <v>45555</v>
      </c>
      <c r="BI5" s="23">
        <f t="shared" si="2"/>
        <v>45556</v>
      </c>
      <c r="BJ5" s="23">
        <f t="shared" si="2"/>
        <v>45557</v>
      </c>
    </row>
    <row r="6" spans="1:62" s="20" customFormat="1" ht="15" customHeight="1">
      <c r="A6" s="76"/>
      <c r="B6" s="78"/>
      <c r="C6" s="89"/>
      <c r="D6" s="89"/>
      <c r="G6" s="26" t="str">
        <f t="shared" ref="G6:AL6" si="3">LEFT(TEXT(G5,"ddd"),1)</f>
        <v>M</v>
      </c>
      <c r="H6" s="27" t="str">
        <f t="shared" si="3"/>
        <v>T</v>
      </c>
      <c r="I6" s="27" t="str">
        <f t="shared" si="3"/>
        <v>W</v>
      </c>
      <c r="J6" s="27" t="str">
        <f t="shared" si="3"/>
        <v>T</v>
      </c>
      <c r="K6" s="27" t="str">
        <f t="shared" si="3"/>
        <v>F</v>
      </c>
      <c r="L6" s="27" t="str">
        <f t="shared" si="3"/>
        <v>S</v>
      </c>
      <c r="M6" s="27" t="str">
        <f t="shared" si="3"/>
        <v>S</v>
      </c>
      <c r="N6" s="27" t="str">
        <f t="shared" si="3"/>
        <v>M</v>
      </c>
      <c r="O6" s="27" t="str">
        <f t="shared" si="3"/>
        <v>T</v>
      </c>
      <c r="P6" s="27" t="str">
        <f t="shared" si="3"/>
        <v>W</v>
      </c>
      <c r="Q6" s="27" t="str">
        <f t="shared" si="3"/>
        <v>T</v>
      </c>
      <c r="R6" s="27" t="str">
        <f t="shared" si="3"/>
        <v>F</v>
      </c>
      <c r="S6" s="27" t="str">
        <f t="shared" si="3"/>
        <v>S</v>
      </c>
      <c r="T6" s="27" t="str">
        <f t="shared" si="3"/>
        <v>S</v>
      </c>
      <c r="U6" s="27" t="str">
        <f t="shared" si="3"/>
        <v>M</v>
      </c>
      <c r="V6" s="27" t="str">
        <f t="shared" si="3"/>
        <v>T</v>
      </c>
      <c r="W6" s="27" t="str">
        <f t="shared" si="3"/>
        <v>W</v>
      </c>
      <c r="X6" s="27" t="str">
        <f t="shared" si="3"/>
        <v>T</v>
      </c>
      <c r="Y6" s="27" t="str">
        <f t="shared" si="3"/>
        <v>F</v>
      </c>
      <c r="Z6" s="27" t="str">
        <f t="shared" si="3"/>
        <v>S</v>
      </c>
      <c r="AA6" s="27" t="str">
        <f t="shared" si="3"/>
        <v>S</v>
      </c>
      <c r="AB6" s="27" t="str">
        <f t="shared" si="3"/>
        <v>M</v>
      </c>
      <c r="AC6" s="27" t="str">
        <f t="shared" si="3"/>
        <v>T</v>
      </c>
      <c r="AD6" s="27" t="str">
        <f t="shared" si="3"/>
        <v>W</v>
      </c>
      <c r="AE6" s="27" t="str">
        <f t="shared" si="3"/>
        <v>T</v>
      </c>
      <c r="AF6" s="27" t="str">
        <f t="shared" si="3"/>
        <v>F</v>
      </c>
      <c r="AG6" s="27" t="str">
        <f t="shared" si="3"/>
        <v>S</v>
      </c>
      <c r="AH6" s="27" t="str">
        <f t="shared" si="3"/>
        <v>S</v>
      </c>
      <c r="AI6" s="27" t="str">
        <f t="shared" si="3"/>
        <v>M</v>
      </c>
      <c r="AJ6" s="27" t="str">
        <f t="shared" si="3"/>
        <v>T</v>
      </c>
      <c r="AK6" s="27" t="str">
        <f t="shared" si="3"/>
        <v>W</v>
      </c>
      <c r="AL6" s="27" t="str">
        <f t="shared" si="3"/>
        <v>T</v>
      </c>
      <c r="AM6" s="27" t="str">
        <f t="shared" ref="AM6:BJ6" si="4">LEFT(TEXT(AM5,"ddd"),1)</f>
        <v>F</v>
      </c>
      <c r="AN6" s="27" t="str">
        <f t="shared" si="4"/>
        <v>S</v>
      </c>
      <c r="AO6" s="27" t="str">
        <f t="shared" si="4"/>
        <v>S</v>
      </c>
      <c r="AP6" s="27" t="str">
        <f t="shared" si="4"/>
        <v>M</v>
      </c>
      <c r="AQ6" s="27" t="str">
        <f t="shared" si="4"/>
        <v>T</v>
      </c>
      <c r="AR6" s="27" t="str">
        <f t="shared" si="4"/>
        <v>W</v>
      </c>
      <c r="AS6" s="27" t="str">
        <f t="shared" si="4"/>
        <v>T</v>
      </c>
      <c r="AT6" s="27" t="str">
        <f t="shared" si="4"/>
        <v>F</v>
      </c>
      <c r="AU6" s="27" t="str">
        <f t="shared" si="4"/>
        <v>S</v>
      </c>
      <c r="AV6" s="27" t="str">
        <f t="shared" si="4"/>
        <v>S</v>
      </c>
      <c r="AW6" s="27" t="str">
        <f t="shared" si="4"/>
        <v>M</v>
      </c>
      <c r="AX6" s="27" t="str">
        <f t="shared" si="4"/>
        <v>T</v>
      </c>
      <c r="AY6" s="27" t="str">
        <f t="shared" si="4"/>
        <v>W</v>
      </c>
      <c r="AZ6" s="27" t="str">
        <f t="shared" si="4"/>
        <v>T</v>
      </c>
      <c r="BA6" s="27" t="str">
        <f t="shared" si="4"/>
        <v>F</v>
      </c>
      <c r="BB6" s="27" t="str">
        <f t="shared" si="4"/>
        <v>S</v>
      </c>
      <c r="BC6" s="27" t="str">
        <f t="shared" si="4"/>
        <v>S</v>
      </c>
      <c r="BD6" s="27" t="str">
        <f t="shared" si="4"/>
        <v>M</v>
      </c>
      <c r="BE6" s="27" t="str">
        <f t="shared" si="4"/>
        <v>T</v>
      </c>
      <c r="BF6" s="27" t="str">
        <f t="shared" si="4"/>
        <v>W</v>
      </c>
      <c r="BG6" s="27" t="str">
        <f t="shared" si="4"/>
        <v>T</v>
      </c>
      <c r="BH6" s="27" t="str">
        <f t="shared" si="4"/>
        <v>F</v>
      </c>
      <c r="BI6" s="27" t="str">
        <f t="shared" si="4"/>
        <v>S</v>
      </c>
      <c r="BJ6" s="28" t="str">
        <f t="shared" si="4"/>
        <v>S</v>
      </c>
    </row>
    <row r="7" spans="1:62" s="20" customFormat="1" ht="30" hidden="1" customHeight="1">
      <c r="A7" s="10" t="s">
        <v>7</v>
      </c>
      <c r="B7" s="29"/>
      <c r="C7" s="29"/>
      <c r="D7" s="29"/>
      <c r="F7" s="20" t="str">
        <f ca="1">IF(OR(ISBLANK(task_start),ISBLANK(task_end)),"",task_end-task_start+1)</f>
        <v/>
      </c>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2" s="34" customFormat="1" ht="30" customHeight="1">
      <c r="A8" s="11"/>
      <c r="B8" s="68" t="s">
        <v>8</v>
      </c>
      <c r="C8" s="31"/>
      <c r="D8" s="32"/>
      <c r="E8" s="13"/>
      <c r="F8" s="3" t="str">
        <f t="shared" ref="F8:F32" ca="1" si="5">IF(OR(ISBLANK(task_start),ISBLANK(task_end)),"",task_end-task_start+1)</f>
        <v/>
      </c>
      <c r="G8" s="33"/>
      <c r="H8" s="33"/>
      <c r="I8" s="33"/>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row>
    <row r="9" spans="1:62" s="34" customFormat="1" ht="30" customHeight="1">
      <c r="A9" s="11"/>
      <c r="B9" s="62" t="s">
        <v>9</v>
      </c>
      <c r="C9" s="35">
        <f>Project_Start</f>
        <v>45505</v>
      </c>
      <c r="D9" s="35">
        <f>C9</f>
        <v>45505</v>
      </c>
      <c r="E9" s="13"/>
      <c r="F9" s="3">
        <f t="shared" ca="1" si="5"/>
        <v>1</v>
      </c>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row>
    <row r="10" spans="1:62" s="34" customFormat="1" ht="30" customHeight="1">
      <c r="A10" s="11"/>
      <c r="B10" s="63" t="s">
        <v>10</v>
      </c>
      <c r="C10" s="37">
        <v>45506</v>
      </c>
      <c r="D10" s="37">
        <f>C10</f>
        <v>45506</v>
      </c>
      <c r="E10" s="13"/>
      <c r="F10" s="3">
        <f t="shared" ca="1" si="5"/>
        <v>1</v>
      </c>
      <c r="G10" s="36"/>
      <c r="H10" s="36"/>
      <c r="I10" s="36"/>
      <c r="J10" s="36"/>
      <c r="K10" s="36"/>
      <c r="L10" s="36"/>
      <c r="M10" s="36"/>
      <c r="N10" s="36"/>
      <c r="O10" s="36"/>
      <c r="P10" s="36"/>
      <c r="Q10" s="36"/>
      <c r="R10" s="36"/>
      <c r="S10" s="38"/>
      <c r="T10" s="38"/>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row>
    <row r="11" spans="1:62" s="34" customFormat="1" ht="30" customHeight="1">
      <c r="A11" s="10"/>
      <c r="B11" s="63" t="s">
        <v>11</v>
      </c>
      <c r="C11" s="37">
        <f>D10</f>
        <v>45506</v>
      </c>
      <c r="D11" s="37">
        <f>C10</f>
        <v>45506</v>
      </c>
      <c r="E11" s="13"/>
      <c r="F11" s="3">
        <f t="shared" ca="1" si="5"/>
        <v>1</v>
      </c>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36"/>
      <c r="BG11" s="36"/>
      <c r="BH11" s="36"/>
      <c r="BI11" s="36"/>
      <c r="BJ11" s="36"/>
    </row>
    <row r="12" spans="1:62" s="34" customFormat="1" ht="30" customHeight="1">
      <c r="A12" s="10"/>
      <c r="B12" s="63" t="s">
        <v>12</v>
      </c>
      <c r="C12" s="37">
        <v>45509</v>
      </c>
      <c r="D12" s="37">
        <f>C12+1</f>
        <v>45510</v>
      </c>
      <c r="E12" s="13"/>
      <c r="F12" s="3">
        <f t="shared" ca="1" si="5"/>
        <v>2</v>
      </c>
      <c r="G12" s="36"/>
      <c r="H12" s="36"/>
      <c r="I12" s="36"/>
      <c r="J12" s="36"/>
      <c r="K12" s="36"/>
      <c r="L12" s="36"/>
      <c r="M12" s="36"/>
      <c r="N12" s="36"/>
      <c r="O12" s="36"/>
      <c r="P12" s="36"/>
      <c r="Q12" s="36"/>
      <c r="R12" s="36"/>
      <c r="S12" s="36"/>
      <c r="T12" s="36"/>
      <c r="U12" s="36"/>
      <c r="V12" s="36"/>
      <c r="W12" s="38"/>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row>
    <row r="13" spans="1:62" s="34" customFormat="1" ht="30" customHeight="1">
      <c r="A13" s="10"/>
      <c r="B13" s="63" t="s">
        <v>13</v>
      </c>
      <c r="C13" s="37">
        <v>45511</v>
      </c>
      <c r="D13" s="37">
        <f>C13+1</f>
        <v>45512</v>
      </c>
      <c r="E13" s="13"/>
      <c r="F13" s="3">
        <f t="shared" ca="1" si="5"/>
        <v>2</v>
      </c>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36"/>
      <c r="BG13" s="36"/>
      <c r="BH13" s="36"/>
      <c r="BI13" s="36"/>
      <c r="BJ13" s="36"/>
    </row>
    <row r="14" spans="1:62" s="34" customFormat="1" ht="30" customHeight="1">
      <c r="A14" s="10"/>
      <c r="B14" s="64"/>
      <c r="C14" s="65"/>
      <c r="D14" s="65"/>
      <c r="E14" s="13"/>
      <c r="F14" s="3"/>
    </row>
    <row r="15" spans="1:62" s="34" customFormat="1" ht="30" customHeight="1">
      <c r="A15" s="11"/>
      <c r="B15" s="67" t="s">
        <v>14</v>
      </c>
      <c r="C15" s="39"/>
      <c r="D15" s="40"/>
      <c r="E15" s="13"/>
      <c r="F15" s="3" t="str">
        <f t="shared" ca="1" si="5"/>
        <v/>
      </c>
    </row>
    <row r="16" spans="1:62" s="34" customFormat="1" ht="30" customHeight="1">
      <c r="A16" s="11"/>
      <c r="B16" s="72" t="s">
        <v>15</v>
      </c>
      <c r="C16" s="41">
        <v>45516</v>
      </c>
      <c r="D16" s="41">
        <f>C16</f>
        <v>45516</v>
      </c>
      <c r="E16" s="13"/>
      <c r="F16" s="3">
        <f t="shared" ca="1" si="5"/>
        <v>1</v>
      </c>
      <c r="G16" s="36"/>
      <c r="H16" s="36"/>
      <c r="I16" s="36"/>
      <c r="J16" s="36"/>
      <c r="K16" s="36"/>
      <c r="L16" s="36"/>
      <c r="M16" s="36"/>
      <c r="N16" s="36"/>
      <c r="O16" s="36"/>
      <c r="P16" s="36"/>
      <c r="Q16" s="36"/>
      <c r="R16" s="36"/>
      <c r="S16" s="36"/>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row>
    <row r="17" spans="1:62" s="34" customFormat="1" ht="30" customHeight="1">
      <c r="A17" s="10"/>
      <c r="B17" s="72" t="s">
        <v>16</v>
      </c>
      <c r="C17" s="41">
        <f>C16+1</f>
        <v>45517</v>
      </c>
      <c r="D17" s="41">
        <f>C17+1</f>
        <v>45518</v>
      </c>
      <c r="E17" s="13"/>
      <c r="F17" s="3">
        <f t="shared" ca="1" si="5"/>
        <v>2</v>
      </c>
      <c r="G17" s="36"/>
      <c r="H17" s="36"/>
      <c r="I17" s="36"/>
      <c r="J17" s="36"/>
      <c r="K17" s="36"/>
      <c r="L17" s="36"/>
      <c r="M17" s="36"/>
      <c r="N17" s="36"/>
      <c r="O17" s="36"/>
      <c r="P17" s="36"/>
      <c r="Q17" s="36"/>
      <c r="R17" s="36"/>
      <c r="S17" s="38"/>
      <c r="T17" s="38"/>
      <c r="U17" s="36"/>
      <c r="V17" s="36"/>
      <c r="W17" s="36"/>
      <c r="X17" s="36"/>
      <c r="Y17" s="36"/>
      <c r="Z17" s="36"/>
      <c r="AA17" s="36"/>
      <c r="AB17" s="36"/>
      <c r="AC17" s="36"/>
      <c r="AD17" s="36"/>
      <c r="AE17" s="36"/>
      <c r="AF17" s="36"/>
      <c r="AG17" s="36"/>
      <c r="AH17" s="36"/>
      <c r="AI17" s="36"/>
      <c r="AJ17" s="36"/>
      <c r="AK17" s="36"/>
      <c r="AL17" s="36"/>
      <c r="AM17" s="36"/>
      <c r="AN17" s="36"/>
      <c r="AO17" s="36"/>
      <c r="AP17" s="36"/>
      <c r="AQ17" s="36"/>
      <c r="AR17" s="36"/>
      <c r="AS17" s="36"/>
      <c r="AT17" s="36"/>
      <c r="AU17" s="36"/>
      <c r="AV17" s="36"/>
      <c r="AW17" s="36"/>
      <c r="AX17" s="36"/>
      <c r="AY17" s="36"/>
      <c r="AZ17" s="36"/>
      <c r="BA17" s="36"/>
      <c r="BB17" s="36"/>
      <c r="BC17" s="36"/>
      <c r="BD17" s="36"/>
      <c r="BE17" s="36"/>
      <c r="BF17" s="36"/>
      <c r="BG17" s="36"/>
      <c r="BH17" s="36"/>
      <c r="BI17" s="36"/>
      <c r="BJ17" s="36"/>
    </row>
    <row r="18" spans="1:62" s="34" customFormat="1" ht="30" customHeight="1">
      <c r="A18" s="10"/>
      <c r="B18" s="72" t="s">
        <v>17</v>
      </c>
      <c r="C18" s="41">
        <f>D17</f>
        <v>45518</v>
      </c>
      <c r="D18" s="41">
        <f>C18+1</f>
        <v>45519</v>
      </c>
      <c r="E18" s="13"/>
      <c r="F18" s="3">
        <f t="shared" ca="1" si="5"/>
        <v>2</v>
      </c>
      <c r="G18" s="36"/>
      <c r="H18" s="36"/>
      <c r="I18" s="36"/>
      <c r="J18" s="36"/>
      <c r="K18" s="36"/>
      <c r="L18" s="36"/>
      <c r="M18" s="36"/>
      <c r="N18" s="36"/>
      <c r="O18" s="36"/>
      <c r="P18" s="36"/>
      <c r="Q18" s="36"/>
      <c r="R18" s="36"/>
      <c r="S18" s="36"/>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row>
    <row r="19" spans="1:62" s="34" customFormat="1" ht="30" customHeight="1">
      <c r="A19" s="10"/>
      <c r="B19" s="72" t="s">
        <v>18</v>
      </c>
      <c r="C19" s="41">
        <f>C18+1</f>
        <v>45519</v>
      </c>
      <c r="D19" s="41">
        <f>C19</f>
        <v>45519</v>
      </c>
      <c r="E19" s="13"/>
      <c r="F19" s="3">
        <f t="shared" ca="1" si="5"/>
        <v>1</v>
      </c>
      <c r="G19" s="36"/>
      <c r="H19" s="36"/>
      <c r="I19" s="36"/>
      <c r="J19" s="36"/>
      <c r="K19" s="36"/>
      <c r="L19" s="36"/>
      <c r="M19" s="36"/>
      <c r="N19" s="36"/>
      <c r="O19" s="36"/>
      <c r="P19" s="36"/>
      <c r="Q19" s="36"/>
      <c r="R19" s="36"/>
      <c r="S19" s="36"/>
      <c r="T19" s="36"/>
      <c r="U19" s="36"/>
      <c r="V19" s="36"/>
      <c r="W19" s="38"/>
      <c r="X19" s="36"/>
      <c r="Y19" s="36"/>
      <c r="Z19" s="36"/>
      <c r="AA19" s="36"/>
      <c r="AB19" s="36"/>
      <c r="AC19" s="36"/>
      <c r="AD19" s="36"/>
      <c r="AE19" s="36"/>
      <c r="AF19" s="36"/>
      <c r="AG19" s="36"/>
      <c r="AH19" s="36"/>
      <c r="AI19" s="36"/>
      <c r="AJ19" s="36"/>
      <c r="AK19" s="36"/>
      <c r="AL19" s="36"/>
      <c r="AM19" s="36"/>
      <c r="AN19" s="36"/>
      <c r="AO19" s="36"/>
      <c r="AP19" s="36"/>
      <c r="AQ19" s="36"/>
      <c r="AR19" s="36"/>
      <c r="AS19" s="36"/>
      <c r="AT19" s="36"/>
      <c r="AU19" s="36"/>
      <c r="AV19" s="36"/>
      <c r="AW19" s="36"/>
      <c r="AX19" s="36"/>
      <c r="AY19" s="36"/>
      <c r="AZ19" s="36"/>
      <c r="BA19" s="36"/>
      <c r="BB19" s="36"/>
      <c r="BC19" s="36"/>
      <c r="BD19" s="36"/>
      <c r="BE19" s="36"/>
      <c r="BF19" s="36"/>
      <c r="BG19" s="36"/>
      <c r="BH19" s="36"/>
      <c r="BI19" s="36"/>
      <c r="BJ19" s="36"/>
    </row>
    <row r="20" spans="1:62" s="34" customFormat="1" ht="30" customHeight="1">
      <c r="A20" s="10"/>
      <c r="B20" s="72" t="s">
        <v>19</v>
      </c>
      <c r="C20" s="41">
        <f>C19</f>
        <v>45519</v>
      </c>
      <c r="D20" s="41">
        <f>C20</f>
        <v>45519</v>
      </c>
      <c r="E20" s="13"/>
      <c r="F20" s="3">
        <f t="shared" ca="1" si="5"/>
        <v>1</v>
      </c>
      <c r="G20" s="36"/>
      <c r="H20" s="36"/>
      <c r="I20" s="36"/>
      <c r="J20" s="36"/>
      <c r="K20" s="36"/>
      <c r="L20" s="36"/>
      <c r="M20" s="36"/>
      <c r="N20" s="36"/>
      <c r="O20" s="36"/>
      <c r="P20" s="36"/>
      <c r="Q20" s="36"/>
      <c r="R20" s="36"/>
      <c r="S20" s="36"/>
      <c r="T20" s="36"/>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row>
    <row r="21" spans="1:62" s="34" customFormat="1" ht="30" customHeight="1">
      <c r="A21" s="10"/>
      <c r="B21" s="42" t="s">
        <v>20</v>
      </c>
      <c r="C21" s="43"/>
      <c r="D21" s="44"/>
      <c r="E21" s="13"/>
      <c r="F21" s="3" t="str">
        <f t="shared" ca="1" si="5"/>
        <v/>
      </c>
      <c r="G21" s="45"/>
      <c r="H21" s="45"/>
      <c r="I21" s="45"/>
      <c r="J21" s="45"/>
      <c r="K21" s="45"/>
      <c r="L21" s="45"/>
      <c r="M21" s="45"/>
      <c r="N21" s="45"/>
      <c r="O21" s="45"/>
      <c r="P21" s="45"/>
      <c r="Q21" s="45"/>
      <c r="R21" s="45"/>
      <c r="S21" s="45"/>
      <c r="T21" s="45"/>
      <c r="U21" s="45"/>
      <c r="V21" s="45"/>
      <c r="W21" s="45"/>
      <c r="X21" s="45"/>
      <c r="Y21" s="45"/>
      <c r="Z21" s="45"/>
      <c r="AA21" s="45"/>
      <c r="AB21" s="45"/>
      <c r="AC21" s="45"/>
      <c r="AD21" s="45"/>
      <c r="AE21" s="45"/>
      <c r="AF21" s="45"/>
      <c r="AG21" s="45"/>
      <c r="AH21" s="45"/>
      <c r="AI21" s="45"/>
      <c r="AJ21" s="45"/>
      <c r="AK21" s="45"/>
      <c r="AL21" s="45"/>
      <c r="AM21" s="45"/>
      <c r="AN21" s="45"/>
      <c r="AO21" s="45"/>
      <c r="AP21" s="45"/>
      <c r="AQ21" s="45"/>
      <c r="AR21" s="45"/>
      <c r="AS21" s="45"/>
      <c r="AT21" s="45"/>
      <c r="AU21" s="45"/>
      <c r="AV21" s="45"/>
      <c r="AW21" s="45"/>
      <c r="AX21" s="45"/>
      <c r="AY21" s="45"/>
      <c r="AZ21" s="45"/>
      <c r="BA21" s="45"/>
      <c r="BB21" s="45"/>
      <c r="BC21" s="45"/>
      <c r="BD21" s="45"/>
      <c r="BE21" s="45"/>
      <c r="BF21" s="45"/>
      <c r="BG21" s="45"/>
      <c r="BH21" s="45"/>
      <c r="BI21" s="45"/>
      <c r="BJ21" s="45"/>
    </row>
    <row r="22" spans="1:62" s="34" customFormat="1" ht="30" customHeight="1">
      <c r="A22" s="10"/>
      <c r="B22" s="73" t="s">
        <v>21</v>
      </c>
      <c r="C22" s="46">
        <v>45523</v>
      </c>
      <c r="D22" s="46">
        <f>C22+3</f>
        <v>45526</v>
      </c>
      <c r="E22" s="13"/>
      <c r="F22" s="3">
        <f t="shared" ca="1" si="5"/>
        <v>4</v>
      </c>
      <c r="G22" s="36"/>
      <c r="H22" s="36"/>
      <c r="I22" s="36"/>
      <c r="J22" s="36"/>
      <c r="K22" s="36"/>
      <c r="L22" s="36"/>
      <c r="M22" s="36"/>
      <c r="N22" s="36"/>
      <c r="O22" s="36"/>
      <c r="P22" s="36"/>
      <c r="Q22" s="36"/>
      <c r="R22" s="36"/>
      <c r="S22" s="36"/>
      <c r="T22" s="36"/>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row>
    <row r="23" spans="1:62" s="34" customFormat="1" ht="30" customHeight="1">
      <c r="A23" s="10"/>
      <c r="B23" s="73" t="s">
        <v>22</v>
      </c>
      <c r="C23" s="46">
        <f>C22</f>
        <v>45523</v>
      </c>
      <c r="D23" s="46">
        <f>C23+3</f>
        <v>45526</v>
      </c>
      <c r="E23" s="13"/>
      <c r="F23" s="3">
        <f t="shared" ca="1" si="5"/>
        <v>4</v>
      </c>
      <c r="G23" s="36"/>
      <c r="H23" s="36"/>
      <c r="I23" s="36"/>
      <c r="J23" s="36"/>
      <c r="K23" s="36"/>
      <c r="L23" s="36"/>
      <c r="M23" s="36"/>
      <c r="N23" s="36"/>
      <c r="O23" s="36"/>
      <c r="P23" s="36"/>
      <c r="Q23" s="36"/>
      <c r="R23" s="36"/>
      <c r="S23" s="36"/>
      <c r="T23" s="36"/>
      <c r="U23" s="36"/>
      <c r="V23" s="36"/>
      <c r="W23" s="36"/>
      <c r="X23" s="36"/>
      <c r="Y23" s="36"/>
      <c r="Z23" s="36"/>
      <c r="AA23" s="36"/>
      <c r="AB23" s="36"/>
      <c r="AC23" s="36"/>
      <c r="AD23" s="36"/>
      <c r="AE23" s="36"/>
      <c r="AF23" s="36"/>
      <c r="AG23" s="36"/>
      <c r="AH23" s="36"/>
      <c r="AI23" s="36"/>
      <c r="AJ23" s="36"/>
      <c r="AK23" s="36"/>
      <c r="AL23" s="36"/>
      <c r="AM23" s="36"/>
      <c r="AN23" s="36"/>
      <c r="AO23" s="36"/>
      <c r="AP23" s="36"/>
      <c r="AQ23" s="36"/>
      <c r="AR23" s="36"/>
      <c r="AS23" s="36"/>
      <c r="AT23" s="36"/>
      <c r="AU23" s="36"/>
      <c r="AV23" s="36"/>
      <c r="AW23" s="36"/>
      <c r="AX23" s="36"/>
      <c r="AY23" s="36"/>
      <c r="AZ23" s="36"/>
      <c r="BA23" s="36"/>
      <c r="BB23" s="36"/>
      <c r="BC23" s="36"/>
      <c r="BD23" s="36"/>
      <c r="BE23" s="36"/>
      <c r="BF23" s="36"/>
      <c r="BG23" s="36"/>
      <c r="BH23" s="36"/>
      <c r="BI23" s="36"/>
      <c r="BJ23" s="36"/>
    </row>
    <row r="24" spans="1:62" s="34" customFormat="1" ht="30" customHeight="1">
      <c r="A24" s="10"/>
      <c r="B24" s="73" t="s">
        <v>23</v>
      </c>
      <c r="C24" s="46">
        <f>C23+4</f>
        <v>45527</v>
      </c>
      <c r="D24" s="46">
        <f>C24</f>
        <v>45527</v>
      </c>
      <c r="E24" s="13"/>
      <c r="F24" s="3">
        <f t="shared" ca="1" si="5"/>
        <v>1</v>
      </c>
      <c r="G24" s="36"/>
      <c r="H24" s="36"/>
      <c r="I24" s="36"/>
      <c r="J24" s="36"/>
      <c r="K24" s="36"/>
      <c r="L24" s="36"/>
      <c r="M24" s="36"/>
      <c r="N24" s="36"/>
      <c r="O24" s="36"/>
      <c r="P24" s="36"/>
      <c r="Q24" s="36"/>
      <c r="R24" s="36"/>
      <c r="S24" s="36"/>
      <c r="T24" s="36"/>
      <c r="U24" s="36"/>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row>
    <row r="25" spans="1:62" s="34" customFormat="1" ht="30" customHeight="1">
      <c r="A25" s="10"/>
      <c r="B25" s="73" t="s">
        <v>24</v>
      </c>
      <c r="C25" s="46">
        <f>D24</f>
        <v>45527</v>
      </c>
      <c r="D25" s="46">
        <f>C25</f>
        <v>45527</v>
      </c>
      <c r="E25" s="13"/>
      <c r="F25" s="3">
        <f t="shared" ca="1" si="5"/>
        <v>1</v>
      </c>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c r="AP25" s="36"/>
      <c r="AQ25" s="36"/>
      <c r="AR25" s="36"/>
      <c r="AS25" s="36"/>
      <c r="AT25" s="36"/>
      <c r="AU25" s="36"/>
      <c r="AV25" s="36"/>
      <c r="AW25" s="36"/>
      <c r="AX25" s="36"/>
      <c r="AY25" s="36"/>
      <c r="AZ25" s="36"/>
      <c r="BA25" s="36"/>
      <c r="BB25" s="36"/>
      <c r="BC25" s="36"/>
      <c r="BD25" s="36"/>
      <c r="BE25" s="36"/>
      <c r="BF25" s="36"/>
      <c r="BG25" s="36"/>
      <c r="BH25" s="36"/>
      <c r="BI25" s="36"/>
      <c r="BJ25" s="36"/>
    </row>
    <row r="26" spans="1:62" s="34" customFormat="1" ht="30" customHeight="1">
      <c r="A26" s="10"/>
      <c r="B26" s="47" t="s">
        <v>25</v>
      </c>
      <c r="C26" s="48"/>
      <c r="D26" s="49"/>
      <c r="E26" s="13"/>
      <c r="F26" s="3" t="str">
        <f t="shared" ca="1" si="5"/>
        <v/>
      </c>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row>
    <row r="27" spans="1:62" s="34" customFormat="1" ht="30" customHeight="1">
      <c r="A27" s="10"/>
      <c r="B27" s="74" t="s">
        <v>26</v>
      </c>
      <c r="C27" s="51">
        <v>45530</v>
      </c>
      <c r="D27" s="51">
        <v>45530</v>
      </c>
      <c r="E27" s="13"/>
      <c r="F27" s="3">
        <f t="shared" ca="1" si="5"/>
        <v>1</v>
      </c>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I27" s="36"/>
      <c r="BJ27" s="36"/>
    </row>
    <row r="28" spans="1:62" s="34" customFormat="1" ht="30" customHeight="1">
      <c r="A28" s="10"/>
      <c r="B28" s="74" t="s">
        <v>27</v>
      </c>
      <c r="C28" s="51">
        <f>D27</f>
        <v>45530</v>
      </c>
      <c r="D28" s="51">
        <f>C28</f>
        <v>45530</v>
      </c>
      <c r="E28" s="13"/>
      <c r="F28" s="3">
        <f t="shared" ca="1" si="5"/>
        <v>1</v>
      </c>
      <c r="G28" s="36"/>
      <c r="H28" s="36"/>
      <c r="I28" s="36"/>
      <c r="J28" s="36"/>
      <c r="K28" s="36"/>
      <c r="L28" s="36"/>
      <c r="M28" s="36"/>
      <c r="N28" s="36"/>
      <c r="O28" s="36"/>
      <c r="P28" s="36"/>
      <c r="Q28" s="36"/>
      <c r="R28" s="36"/>
      <c r="S28" s="36"/>
      <c r="T28" s="36"/>
      <c r="U28" s="36"/>
      <c r="V28" s="36"/>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row>
    <row r="29" spans="1:62" s="34" customFormat="1" ht="30" customHeight="1">
      <c r="A29" s="10"/>
      <c r="B29" s="75" t="s">
        <v>28</v>
      </c>
      <c r="C29" s="51"/>
      <c r="D29" s="51"/>
      <c r="E29" s="13"/>
      <c r="F29" s="3" t="str">
        <f t="shared" ca="1" si="5"/>
        <v/>
      </c>
      <c r="G29" s="36"/>
      <c r="H29" s="36"/>
      <c r="I29" s="36"/>
      <c r="J29" s="36"/>
      <c r="K29" s="36"/>
      <c r="L29" s="36"/>
      <c r="M29" s="36"/>
      <c r="N29" s="36"/>
      <c r="O29" s="36"/>
      <c r="P29" s="36"/>
      <c r="Q29" s="36"/>
      <c r="R29" s="36"/>
      <c r="S29" s="36"/>
      <c r="T29" s="36"/>
      <c r="U29" s="36"/>
      <c r="V29" s="36"/>
      <c r="W29" s="36"/>
      <c r="X29" s="36"/>
      <c r="Y29" s="36"/>
      <c r="Z29" s="36"/>
      <c r="AA29" s="36"/>
      <c r="AB29" s="36"/>
      <c r="AC29" s="36"/>
      <c r="AD29" s="36"/>
      <c r="AE29" s="36"/>
      <c r="AF29" s="36"/>
      <c r="AG29" s="36"/>
      <c r="AH29" s="36"/>
      <c r="AI29" s="36"/>
      <c r="AJ29" s="36"/>
      <c r="AK29" s="36"/>
      <c r="AL29" s="36"/>
      <c r="AM29" s="36"/>
      <c r="AN29" s="36"/>
      <c r="AO29" s="36"/>
      <c r="AP29" s="36"/>
      <c r="AQ29" s="36"/>
      <c r="AR29" s="36"/>
      <c r="AS29" s="36"/>
      <c r="AT29" s="36"/>
      <c r="AU29" s="36"/>
      <c r="AV29" s="36"/>
      <c r="AW29" s="36"/>
      <c r="AX29" s="36"/>
      <c r="AY29" s="36"/>
      <c r="AZ29" s="36"/>
      <c r="BA29" s="36"/>
      <c r="BB29" s="36"/>
      <c r="BC29" s="36"/>
      <c r="BD29" s="36"/>
      <c r="BE29" s="36"/>
      <c r="BF29" s="36"/>
      <c r="BG29" s="36"/>
      <c r="BH29" s="36"/>
      <c r="BI29" s="36"/>
      <c r="BJ29" s="36"/>
    </row>
    <row r="30" spans="1:62" s="34" customFormat="1" ht="30" customHeight="1">
      <c r="A30" s="10"/>
      <c r="B30" s="74" t="s">
        <v>29</v>
      </c>
      <c r="C30" s="51">
        <f>C27+1</f>
        <v>45531</v>
      </c>
      <c r="D30" s="51">
        <f>C30</f>
        <v>45531</v>
      </c>
      <c r="E30" s="13"/>
      <c r="F30" s="3">
        <f t="shared" ca="1" si="5"/>
        <v>1</v>
      </c>
      <c r="G30" s="36"/>
      <c r="H30" s="36"/>
      <c r="I30" s="36"/>
      <c r="J30" s="36"/>
      <c r="K30" s="36"/>
      <c r="L30" s="36"/>
      <c r="M30" s="36"/>
      <c r="N30" s="36"/>
      <c r="O30" s="36"/>
      <c r="P30" s="36"/>
      <c r="Q30" s="36"/>
      <c r="R30" s="36"/>
      <c r="S30" s="36"/>
      <c r="T30" s="36"/>
      <c r="U30" s="36"/>
      <c r="V30" s="36"/>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row>
    <row r="31" spans="1:62" s="34" customFormat="1" ht="30" customHeight="1">
      <c r="A31" s="10"/>
      <c r="B31" s="74" t="s">
        <v>30</v>
      </c>
      <c r="C31" s="51">
        <f>C27+1</f>
        <v>45531</v>
      </c>
      <c r="D31" s="51">
        <v>45531</v>
      </c>
      <c r="E31" s="13"/>
      <c r="F31" s="3">
        <f t="shared" ca="1" si="5"/>
        <v>1</v>
      </c>
      <c r="G31" s="36"/>
      <c r="H31" s="36"/>
      <c r="I31" s="36"/>
      <c r="J31" s="36"/>
      <c r="K31" s="36"/>
      <c r="L31" s="36"/>
      <c r="M31" s="36"/>
      <c r="N31" s="36"/>
      <c r="O31" s="36"/>
      <c r="P31" s="36"/>
      <c r="Q31" s="36"/>
      <c r="R31" s="36"/>
      <c r="S31" s="36"/>
      <c r="T31" s="36"/>
      <c r="U31" s="36"/>
      <c r="V31" s="36"/>
      <c r="W31" s="36"/>
      <c r="X31" s="36"/>
      <c r="Y31" s="36"/>
      <c r="Z31" s="36"/>
      <c r="AA31" s="36"/>
      <c r="AB31" s="36"/>
      <c r="AC31" s="36"/>
      <c r="AD31" s="36"/>
      <c r="AE31" s="36"/>
      <c r="AF31" s="36"/>
      <c r="AG31" s="36"/>
      <c r="AH31" s="36"/>
      <c r="AI31" s="36"/>
      <c r="AJ31" s="36"/>
      <c r="AK31" s="36"/>
      <c r="AL31" s="36"/>
      <c r="AM31" s="36"/>
      <c r="AN31" s="36"/>
      <c r="AO31" s="36"/>
      <c r="AP31" s="36"/>
      <c r="AQ31" s="36"/>
      <c r="AR31" s="36"/>
      <c r="AS31" s="36"/>
      <c r="AT31" s="36"/>
      <c r="AU31" s="36"/>
      <c r="AV31" s="36"/>
      <c r="AW31" s="36"/>
      <c r="AX31" s="36"/>
      <c r="AY31" s="36"/>
      <c r="AZ31" s="36"/>
      <c r="BA31" s="36"/>
      <c r="BB31" s="36"/>
      <c r="BC31" s="36"/>
      <c r="BD31" s="36"/>
      <c r="BE31" s="36"/>
      <c r="BF31" s="36"/>
      <c r="BG31" s="36"/>
      <c r="BH31" s="36"/>
      <c r="BI31" s="36"/>
      <c r="BJ31" s="36"/>
    </row>
    <row r="32" spans="1:62" s="34" customFormat="1" ht="30" customHeight="1">
      <c r="A32" s="10"/>
      <c r="B32" s="52"/>
      <c r="C32" s="53"/>
      <c r="D32" s="53"/>
      <c r="E32" s="13"/>
      <c r="F32" s="3" t="str">
        <f t="shared" ca="1" si="5"/>
        <v/>
      </c>
      <c r="G32" s="33"/>
      <c r="H32" s="33"/>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row>
    <row r="33" spans="1:5" s="69" customFormat="1" ht="30" customHeight="1">
      <c r="A33" s="66"/>
      <c r="C33" s="70"/>
      <c r="E33" s="71"/>
    </row>
    <row r="34" spans="1:5" ht="30" customHeight="1">
      <c r="D34" s="12"/>
    </row>
  </sheetData>
  <mergeCells count="16">
    <mergeCell ref="O1:X1"/>
    <mergeCell ref="G1:M1"/>
    <mergeCell ref="G2:M2"/>
    <mergeCell ref="BD4:BJ4"/>
    <mergeCell ref="G4:M4"/>
    <mergeCell ref="N4:T4"/>
    <mergeCell ref="U4:AA4"/>
    <mergeCell ref="AB4:AH4"/>
    <mergeCell ref="AI4:AO4"/>
    <mergeCell ref="AP4:AV4"/>
    <mergeCell ref="AW4:BC4"/>
    <mergeCell ref="A5:A6"/>
    <mergeCell ref="B5:B6"/>
    <mergeCell ref="C5:C6"/>
    <mergeCell ref="D5:D6"/>
    <mergeCell ref="O2:X2"/>
  </mergeCells>
  <conditionalFormatting sqref="G9:BJ14">
    <cfRule type="expression" dxfId="8" priority="6">
      <formula>AND(task_start&lt;=G$5,ROUNDDOWN((task_end-task_start+1)*task_progress,0)+task_start-1&gt;=G$5)</formula>
    </cfRule>
    <cfRule type="expression" dxfId="7" priority="7" stopIfTrue="1">
      <formula>AND(task_end&gt;=G$5,task_start&lt;H$5)</formula>
    </cfRule>
  </conditionalFormatting>
  <conditionalFormatting sqref="G16:BJ20">
    <cfRule type="expression" dxfId="6" priority="4">
      <formula>AND(task_start&lt;=G$5,ROUNDDOWN((task_end-task_start+1)*task_progress,0)+task_start-1&gt;=G$5)</formula>
    </cfRule>
    <cfRule type="expression" dxfId="5" priority="5" stopIfTrue="1">
      <formula>AND(task_end&gt;=G$5,task_start&lt;H$5)</formula>
    </cfRule>
  </conditionalFormatting>
  <conditionalFormatting sqref="G22:BJ25">
    <cfRule type="expression" dxfId="4" priority="2">
      <formula>AND(task_start&lt;=G$5,ROUNDDOWN((task_end-task_start+1)*task_progress,0)+task_start-1&gt;=G$5)</formula>
    </cfRule>
    <cfRule type="expression" dxfId="3" priority="3" stopIfTrue="1">
      <formula>AND(task_end&gt;=G$5,task_start&lt;H$5)</formula>
    </cfRule>
  </conditionalFormatting>
  <conditionalFormatting sqref="G27:BJ31">
    <cfRule type="expression" dxfId="2" priority="36">
      <formula>AND(task_start&lt;=G$5,ROUNDDOWN((task_end-task_start+1)*task_progress,0)+task_start-1&gt;=G$5)</formula>
    </cfRule>
    <cfRule type="expression" dxfId="1" priority="37" stopIfTrue="1">
      <formula>AND(task_end&gt;=G$5,task_start&lt;H$5)</formula>
    </cfRule>
  </conditionalFormatting>
  <conditionalFormatting sqref="G4:BJ31">
    <cfRule type="expression" dxfId="0" priority="1">
      <formula>AND(TODAY()&gt;=G$5, TODAY()&lt;H$5)</formula>
    </cfRule>
  </conditionalFormatting>
  <dataValidations count="12">
    <dataValidation type="whole" operator="greaterThanOrEqual" allowBlank="1" showInputMessage="1" promptTitle="Display Week" prompt="Changing this number will scroll the Gantt Chart view." sqref="O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5" xr:uid="{4F48FC41-E335-47F1-87AA-3333A52AD81C}"/>
    <dataValidation allowBlank="1" showInputMessage="1" showErrorMessage="1" prompt="Phase 3's sample block starts in cell B20." sqref="A21" xr:uid="{956902D1-D3B5-416D-BB69-9362D193BC0A}"/>
    <dataValidation allowBlank="1" showInputMessage="1" showErrorMessage="1" prompt="Phase 4's sample block starts in cell B26." sqref="A26" xr:uid="{DE54E5DE-526D-4D71-8D03-E99B4AB2FEE5}"/>
  </dataValidations>
  <printOptions horizontalCentered="1"/>
  <pageMargins left="0.35" right="0.35" top="0.35" bottom="0.5" header="0.3" footer="0.3"/>
  <pageSetup scale="57" fitToHeight="0" orientation="landscape" r:id="rId1"/>
  <headerFooter differentFirst="1" scaleWithDoc="0">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15"/>
  <cols>
    <col min="1" max="1" width="87" style="4" customWidth="1"/>
    <col min="2" max="16384" width="9" style="1"/>
  </cols>
  <sheetData>
    <row r="1" spans="1:2" ht="46.5" customHeight="1"/>
    <row r="2" spans="1:2" s="6" customFormat="1" ht="15.6">
      <c r="A2" s="54" t="s">
        <v>31</v>
      </c>
      <c r="B2" s="5"/>
    </row>
    <row r="3" spans="1:2" s="8" customFormat="1" ht="27" customHeight="1">
      <c r="A3" s="55"/>
      <c r="B3" s="9"/>
    </row>
    <row r="4" spans="1:2" s="7" customFormat="1" ht="30">
      <c r="A4" s="56" t="s">
        <v>32</v>
      </c>
    </row>
    <row r="5" spans="1:2" ht="74.25" customHeight="1">
      <c r="A5" s="57" t="s">
        <v>33</v>
      </c>
    </row>
    <row r="6" spans="1:2" ht="26.25" customHeight="1">
      <c r="A6" s="56" t="s">
        <v>34</v>
      </c>
    </row>
    <row r="7" spans="1:2" s="4" customFormat="1" ht="205.15" customHeight="1">
      <c r="A7" s="58" t="s">
        <v>35</v>
      </c>
    </row>
    <row r="8" spans="1:2" s="7" customFormat="1" ht="30">
      <c r="A8" s="56" t="s">
        <v>36</v>
      </c>
    </row>
    <row r="9" spans="1:2" ht="41.45">
      <c r="A9" s="57" t="s">
        <v>37</v>
      </c>
    </row>
    <row r="10" spans="1:2" s="4" customFormat="1" ht="28.15" customHeight="1">
      <c r="A10" s="59" t="s">
        <v>38</v>
      </c>
    </row>
    <row r="11" spans="1:2" s="7" customFormat="1" ht="30">
      <c r="A11" s="56" t="s">
        <v>39</v>
      </c>
    </row>
    <row r="12" spans="1:2" ht="27.6">
      <c r="A12" s="57" t="s">
        <v>40</v>
      </c>
    </row>
    <row r="13" spans="1:2" s="4" customFormat="1" ht="28.15" customHeight="1">
      <c r="A13" s="59" t="s">
        <v>41</v>
      </c>
    </row>
    <row r="14" spans="1:2" s="7" customFormat="1" ht="30">
      <c r="A14" s="56" t="s">
        <v>42</v>
      </c>
    </row>
    <row r="15" spans="1:2" ht="75" customHeight="1">
      <c r="A15" s="57" t="s">
        <v>43</v>
      </c>
    </row>
    <row r="16" spans="1:2" ht="69">
      <c r="A16" s="57" t="s">
        <v>44</v>
      </c>
    </row>
    <row r="17" spans="1:1">
      <c r="A17" s="60"/>
    </row>
    <row r="18" spans="1:1">
      <c r="A18" s="60"/>
    </row>
    <row r="19" spans="1:1">
      <c r="A19" s="60"/>
    </row>
    <row r="20" spans="1:1">
      <c r="A20" s="60"/>
    </row>
    <row r="21" spans="1:1">
      <c r="A21" s="60"/>
    </row>
    <row r="22" spans="1:1">
      <c r="A22" s="60"/>
    </row>
    <row r="23" spans="1:1">
      <c r="A23" s="60"/>
    </row>
    <row r="24" spans="1:1">
      <c r="A24" s="60"/>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file>

<file path=customXml/itemProps2.xml><?xml version="1.0" encoding="utf-8"?>
<ds:datastoreItem xmlns:ds="http://schemas.openxmlformats.org/officeDocument/2006/customXml" ds:itemID="{C2348D59-3426-404A-A0C5-6456F6613EDB}"/>
</file>

<file path=customXml/itemProps3.xml><?xml version="1.0" encoding="utf-8"?>
<ds:datastoreItem xmlns:ds="http://schemas.openxmlformats.org/officeDocument/2006/customXml" ds:itemID="{A82239A0-E68C-493F-BEE6-C77FEA397FD6}"/>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Vasireddy, Dheeraj Reddy</cp:lastModifiedBy>
  <cp:revision/>
  <dcterms:created xsi:type="dcterms:W3CDTF">2024-07-11T21:40:07Z</dcterms:created>
  <dcterms:modified xsi:type="dcterms:W3CDTF">2024-07-12T01:49:41Z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