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Personal/UAB Classes Notes/3 Semester summer/"/>
    </mc:Choice>
  </mc:AlternateContent>
  <xr:revisionPtr revIDLastSave="0" documentId="13_ncr:1_{2774140B-37A9-914F-B832-231930FEFBD2}" xr6:coauthVersionLast="47" xr6:coauthVersionMax="47" xr10:uidLastSave="{00000000-0000-0000-0000-000000000000}"/>
  <bookViews>
    <workbookView xWindow="380" yWindow="1040" windowWidth="28040" windowHeight="15880" xr2:uid="{2342EDDF-18C4-1A47-9EEE-486802534650}"/>
  </bookViews>
  <sheets>
    <sheet name="Sheet1" sheetId="1" r:id="rId1"/>
  </sheets>
  <definedNames>
    <definedName name="_xlnm.Print_Area" localSheetId="0">Sheet1!$D$2:$K$34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AA261" i="1"/>
  <c r="J17" i="1"/>
  <c r="J16" i="1"/>
  <c r="J15" i="1"/>
  <c r="J14" i="1"/>
  <c r="J13" i="1"/>
  <c r="AB254" i="1" s="1"/>
  <c r="J12" i="1"/>
  <c r="AD257" i="1" s="1"/>
  <c r="F21" i="1"/>
  <c r="J19" i="1"/>
  <c r="H28" i="1"/>
  <c r="H29" i="1"/>
  <c r="H27" i="1"/>
  <c r="H30" i="1"/>
  <c r="H31" i="1"/>
  <c r="H26" i="1"/>
  <c r="AB261" i="1" s="1"/>
</calcChain>
</file>

<file path=xl/sharedStrings.xml><?xml version="1.0" encoding="utf-8"?>
<sst xmlns="http://schemas.openxmlformats.org/spreadsheetml/2006/main" count="57" uniqueCount="50">
  <si>
    <t>ID</t>
  </si>
  <si>
    <t>Task</t>
  </si>
  <si>
    <t>Hours</t>
  </si>
  <si>
    <t>Resourse</t>
  </si>
  <si>
    <t xml:space="preserve">Resourse hr rate </t>
  </si>
  <si>
    <t xml:space="preserve">Inspecting the Current site </t>
  </si>
  <si>
    <t>Planning the project</t>
  </si>
  <si>
    <t>Purchasing the tiles</t>
  </si>
  <si>
    <t>Removale of old tiles</t>
  </si>
  <si>
    <t>installation cost</t>
  </si>
  <si>
    <t>Final inspection</t>
  </si>
  <si>
    <t>Trasportation cost</t>
  </si>
  <si>
    <t>New Tools and equpment cost</t>
  </si>
  <si>
    <t>Miscellaneous</t>
  </si>
  <si>
    <t>Total</t>
  </si>
  <si>
    <t>1 PMO</t>
  </si>
  <si>
    <t>1 Supply chain, 1 Procurement</t>
  </si>
  <si>
    <t>Service provider</t>
  </si>
  <si>
    <t>-</t>
  </si>
  <si>
    <t>1 PMO, 1 Site Engineer</t>
  </si>
  <si>
    <t>Master Bedroom</t>
  </si>
  <si>
    <t>Bedroom 1</t>
  </si>
  <si>
    <t>Dining room</t>
  </si>
  <si>
    <t>Kitchen</t>
  </si>
  <si>
    <t>Living Room</t>
  </si>
  <si>
    <t>Cost/ Sq fT</t>
  </si>
  <si>
    <t>Total Area</t>
  </si>
  <si>
    <t>Total cost</t>
  </si>
  <si>
    <t>Room type</t>
  </si>
  <si>
    <t>Team 4</t>
  </si>
  <si>
    <t>Residential Flooring 
Renovation Project</t>
  </si>
  <si>
    <t>Project Manager</t>
  </si>
  <si>
    <t>Area in Sq ft</t>
  </si>
  <si>
    <t>$787</t>
  </si>
  <si>
    <t>$ 3000</t>
  </si>
  <si>
    <t xml:space="preserve">Project Budget  </t>
  </si>
  <si>
    <t>$3000</t>
  </si>
  <si>
    <t>Project Budget Sponcer</t>
  </si>
  <si>
    <t>D.A George</t>
  </si>
  <si>
    <t>Budgeted Cost</t>
  </si>
  <si>
    <t>Actual Cost</t>
  </si>
  <si>
    <t>Under/ Over</t>
  </si>
  <si>
    <t>$1950 (65%  of total budget)</t>
  </si>
  <si>
    <t xml:space="preserve">$750 (25% of total budget) </t>
  </si>
  <si>
    <t>$300 (10% of total budget)</t>
  </si>
  <si>
    <t>Total Cost per room in USD</t>
  </si>
  <si>
    <t>1. Purchasing the tile ( Cost Estimation)</t>
  </si>
  <si>
    <t>Project name</t>
  </si>
  <si>
    <t>$ 2905.70</t>
  </si>
  <si>
    <t>$ -94.30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</si>
</sst>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CAB8-A704-2944-A60E-FEC13C2CA7F4}">
  <sheetPr>
    <pageSetUpPr fitToPage="1"/>
  </sheetPr>
  <dimension ref="D2:AD261"/>
  <sheetViews>
    <sheetView tabSelected="1" topLeftCell="C5" workbookViewId="0">
      <selection activeCell="J28" sqref="J28"/>
    </sheetView>
  </sheetViews>
  <sheetFormatPr baseColWidth="10" defaultRowHeight="16" x14ac:dyDescent="0.2"/>
  <cols>
    <col min="4" max="4" width="10.83203125" customWidth="1"/>
    <col min="5" max="5" width="26.33203125" bestFit="1" customWidth="1"/>
    <col min="6" max="6" width="20.6640625" customWidth="1"/>
    <col min="7" max="7" width="31.1640625" customWidth="1"/>
    <col min="8" max="8" width="24.5" customWidth="1"/>
    <col min="9" max="9" width="27.1640625" customWidth="1"/>
    <col min="10" max="11" width="19.33203125" customWidth="1"/>
    <col min="12" max="12" width="22.6640625" customWidth="1"/>
  </cols>
  <sheetData>
    <row r="2" spans="4:11" x14ac:dyDescent="0.2">
      <c r="D2" s="36" t="s">
        <v>47</v>
      </c>
      <c r="E2" s="36"/>
      <c r="F2" s="37" t="s">
        <v>30</v>
      </c>
      <c r="G2" s="30" t="s">
        <v>35</v>
      </c>
      <c r="H2" s="31"/>
      <c r="I2" s="30" t="s">
        <v>36</v>
      </c>
      <c r="J2" s="31"/>
    </row>
    <row r="3" spans="4:11" ht="57" customHeight="1" x14ac:dyDescent="0.2">
      <c r="D3" s="36"/>
      <c r="E3" s="36"/>
      <c r="F3" s="36"/>
      <c r="G3" s="32"/>
      <c r="H3" s="33"/>
      <c r="I3" s="32"/>
      <c r="J3" s="33"/>
    </row>
    <row r="4" spans="4:11" x14ac:dyDescent="0.2">
      <c r="D4" s="36" t="s">
        <v>31</v>
      </c>
      <c r="E4" s="36"/>
      <c r="F4" s="36" t="s">
        <v>29</v>
      </c>
      <c r="G4" s="30" t="s">
        <v>37</v>
      </c>
      <c r="H4" s="31"/>
      <c r="I4" s="30" t="s">
        <v>38</v>
      </c>
      <c r="J4" s="31"/>
    </row>
    <row r="5" spans="4:11" x14ac:dyDescent="0.2">
      <c r="D5" s="38"/>
      <c r="E5" s="38"/>
      <c r="F5" s="38"/>
      <c r="G5" s="32"/>
      <c r="H5" s="33"/>
      <c r="I5" s="32"/>
      <c r="J5" s="33"/>
    </row>
    <row r="6" spans="4:11" x14ac:dyDescent="0.2">
      <c r="H6" s="6"/>
      <c r="I6" s="21" t="s">
        <v>39</v>
      </c>
      <c r="J6" s="24" t="s">
        <v>40</v>
      </c>
      <c r="K6" s="20" t="s">
        <v>41</v>
      </c>
    </row>
    <row r="7" spans="4:11" x14ac:dyDescent="0.2">
      <c r="H7" s="6"/>
      <c r="I7" s="22"/>
      <c r="J7" s="25"/>
      <c r="K7" s="20"/>
    </row>
    <row r="8" spans="4:11" x14ac:dyDescent="0.2">
      <c r="D8" s="39" t="s">
        <v>0</v>
      </c>
      <c r="E8" s="39" t="s">
        <v>1</v>
      </c>
      <c r="F8" s="10" t="s">
        <v>2</v>
      </c>
      <c r="G8" s="34" t="s">
        <v>3</v>
      </c>
      <c r="H8" s="34" t="s">
        <v>4</v>
      </c>
      <c r="I8" s="22"/>
      <c r="J8" s="25"/>
      <c r="K8" s="20"/>
    </row>
    <row r="9" spans="4:11" x14ac:dyDescent="0.2">
      <c r="D9" s="39"/>
      <c r="E9" s="39"/>
      <c r="F9" s="10"/>
      <c r="G9" s="35"/>
      <c r="H9" s="35"/>
      <c r="I9" s="23"/>
      <c r="J9" s="26"/>
      <c r="K9" s="20"/>
    </row>
    <row r="10" spans="4:11" x14ac:dyDescent="0.2">
      <c r="D10" s="2"/>
      <c r="E10" s="2"/>
      <c r="F10" s="2"/>
      <c r="G10" s="2"/>
      <c r="H10" s="2"/>
      <c r="I10" s="2"/>
      <c r="J10" s="2"/>
      <c r="K10" s="2"/>
    </row>
    <row r="11" spans="4:11" x14ac:dyDescent="0.2">
      <c r="D11" s="3">
        <v>1</v>
      </c>
      <c r="E11" s="3" t="s">
        <v>7</v>
      </c>
      <c r="F11" s="3" t="s">
        <v>18</v>
      </c>
      <c r="G11" s="3" t="s">
        <v>16</v>
      </c>
      <c r="H11" s="3" t="s">
        <v>18</v>
      </c>
      <c r="I11" s="3" t="s">
        <v>43</v>
      </c>
      <c r="J11" s="3">
        <v>865.7</v>
      </c>
      <c r="K11" s="7">
        <v>115.7</v>
      </c>
    </row>
    <row r="12" spans="4:11" x14ac:dyDescent="0.2">
      <c r="D12" s="2">
        <v>2</v>
      </c>
      <c r="E12" s="2" t="s">
        <v>11</v>
      </c>
      <c r="F12" s="2">
        <v>3</v>
      </c>
      <c r="G12" s="2" t="s">
        <v>16</v>
      </c>
      <c r="H12" s="2">
        <v>100</v>
      </c>
      <c r="I12" s="2" t="s">
        <v>44</v>
      </c>
      <c r="J12" s="6">
        <f>F12*H12</f>
        <v>300</v>
      </c>
      <c r="K12" s="8">
        <v>0</v>
      </c>
    </row>
    <row r="13" spans="4:11" x14ac:dyDescent="0.2">
      <c r="D13" s="2">
        <v>3</v>
      </c>
      <c r="E13" s="2" t="s">
        <v>5</v>
      </c>
      <c r="F13" s="2">
        <v>2</v>
      </c>
      <c r="G13" s="2" t="s">
        <v>19</v>
      </c>
      <c r="H13" s="2">
        <v>25</v>
      </c>
      <c r="I13" s="17" t="s">
        <v>42</v>
      </c>
      <c r="J13" s="2">
        <f>(H13*F13)</f>
        <v>50</v>
      </c>
      <c r="K13" s="20">
        <v>-1737.5</v>
      </c>
    </row>
    <row r="14" spans="4:11" x14ac:dyDescent="0.2">
      <c r="D14" s="2">
        <v>4</v>
      </c>
      <c r="E14" s="2" t="s">
        <v>6</v>
      </c>
      <c r="F14" s="2">
        <v>8</v>
      </c>
      <c r="G14" s="2" t="s">
        <v>15</v>
      </c>
      <c r="H14" s="2">
        <v>25</v>
      </c>
      <c r="I14" s="18"/>
      <c r="J14" s="2">
        <f>(H14*F14)</f>
        <v>200</v>
      </c>
      <c r="K14" s="20"/>
    </row>
    <row r="15" spans="4:11" x14ac:dyDescent="0.2">
      <c r="D15" s="2">
        <v>5</v>
      </c>
      <c r="E15" s="2" t="s">
        <v>8</v>
      </c>
      <c r="F15" s="2">
        <v>32</v>
      </c>
      <c r="G15" s="2" t="s">
        <v>17</v>
      </c>
      <c r="H15" s="2">
        <v>15</v>
      </c>
      <c r="I15" s="18"/>
      <c r="J15" s="2">
        <f>(H15*F15)</f>
        <v>480</v>
      </c>
      <c r="K15" s="20"/>
    </row>
    <row r="16" spans="4:11" x14ac:dyDescent="0.2">
      <c r="D16" s="2">
        <v>6</v>
      </c>
      <c r="E16" s="2" t="s">
        <v>9</v>
      </c>
      <c r="F16" s="2">
        <v>40</v>
      </c>
      <c r="G16" s="2" t="s">
        <v>17</v>
      </c>
      <c r="H16" s="2">
        <v>15</v>
      </c>
      <c r="I16" s="18"/>
      <c r="J16" s="2">
        <f>(H16*F16)</f>
        <v>600</v>
      </c>
      <c r="K16" s="20"/>
    </row>
    <row r="17" spans="4:13" x14ac:dyDescent="0.2">
      <c r="D17" s="2">
        <v>7</v>
      </c>
      <c r="E17" s="2" t="s">
        <v>10</v>
      </c>
      <c r="F17" s="2">
        <v>6</v>
      </c>
      <c r="G17" s="2" t="s">
        <v>17</v>
      </c>
      <c r="H17" s="2">
        <v>15</v>
      </c>
      <c r="I17" s="18"/>
      <c r="J17" s="2">
        <f>(H17*F17)</f>
        <v>90</v>
      </c>
      <c r="K17" s="20"/>
    </row>
    <row r="18" spans="4:13" x14ac:dyDescent="0.2">
      <c r="D18" s="2">
        <v>8</v>
      </c>
      <c r="E18" s="2" t="s">
        <v>12</v>
      </c>
      <c r="F18" s="2"/>
      <c r="G18" s="2" t="s">
        <v>17</v>
      </c>
      <c r="H18" s="2">
        <v>200</v>
      </c>
      <c r="I18" s="18"/>
      <c r="J18" s="2">
        <v>200</v>
      </c>
      <c r="K18" s="20"/>
    </row>
    <row r="19" spans="4:13" x14ac:dyDescent="0.2">
      <c r="D19" s="2">
        <v>9</v>
      </c>
      <c r="E19" s="2" t="s">
        <v>13</v>
      </c>
      <c r="F19" s="2">
        <v>3</v>
      </c>
      <c r="G19" s="2" t="s">
        <v>18</v>
      </c>
      <c r="H19" s="2">
        <v>40</v>
      </c>
      <c r="I19" s="19"/>
      <c r="J19" s="2">
        <f t="shared" ref="J19" si="0">(H19*F19)</f>
        <v>120</v>
      </c>
      <c r="K19" s="20"/>
    </row>
    <row r="20" spans="4:13" x14ac:dyDescent="0.2">
      <c r="D20" s="2"/>
      <c r="E20" s="2"/>
      <c r="F20" s="2"/>
      <c r="G20" s="2"/>
      <c r="H20" s="2"/>
      <c r="I20" s="2"/>
      <c r="J20" s="2"/>
      <c r="K20" s="2"/>
    </row>
    <row r="21" spans="4:13" x14ac:dyDescent="0.2">
      <c r="D21" s="2"/>
      <c r="E21" s="15" t="s">
        <v>14</v>
      </c>
      <c r="F21" s="15">
        <f>SUM(F11:F19)</f>
        <v>94</v>
      </c>
      <c r="G21" s="2"/>
      <c r="H21" s="2"/>
      <c r="I21" s="28" t="s">
        <v>34</v>
      </c>
      <c r="J21" s="28" t="s">
        <v>48</v>
      </c>
      <c r="K21" s="28" t="s">
        <v>49</v>
      </c>
    </row>
    <row r="22" spans="4:13" x14ac:dyDescent="0.2">
      <c r="D22" s="2"/>
      <c r="E22" s="16"/>
      <c r="F22" s="16"/>
      <c r="G22" s="2"/>
      <c r="H22" s="2"/>
      <c r="I22" s="29"/>
      <c r="J22" s="29"/>
      <c r="K22" s="29"/>
      <c r="M22" s="4"/>
    </row>
    <row r="23" spans="4:13" x14ac:dyDescent="0.2">
      <c r="D23" s="12" t="s">
        <v>46</v>
      </c>
      <c r="E23" s="12"/>
      <c r="F23" s="12"/>
      <c r="G23" s="12"/>
      <c r="H23" s="12"/>
      <c r="I23" s="12"/>
      <c r="J23" s="12"/>
      <c r="K23" s="12"/>
    </row>
    <row r="24" spans="4:13" x14ac:dyDescent="0.2">
      <c r="D24" s="12"/>
      <c r="E24" s="12"/>
      <c r="F24" s="12"/>
      <c r="G24" s="12"/>
      <c r="H24" s="12"/>
      <c r="I24" s="12"/>
      <c r="J24" s="12"/>
      <c r="K24" s="12"/>
    </row>
    <row r="25" spans="4:13" x14ac:dyDescent="0.2">
      <c r="D25" s="13" t="s">
        <v>28</v>
      </c>
      <c r="E25" s="13"/>
      <c r="F25" s="9" t="s">
        <v>32</v>
      </c>
      <c r="G25" s="9" t="s">
        <v>25</v>
      </c>
      <c r="H25" s="9" t="s">
        <v>45</v>
      </c>
    </row>
    <row r="26" spans="4:13" x14ac:dyDescent="0.2">
      <c r="D26" s="14" t="s">
        <v>20</v>
      </c>
      <c r="E26" s="14"/>
      <c r="F26" s="2">
        <v>154</v>
      </c>
      <c r="G26" s="5">
        <v>1.1000000000000001</v>
      </c>
      <c r="H26" s="2">
        <f t="shared" ref="H26:H31" si="1">(F26*G26)</f>
        <v>169.4</v>
      </c>
    </row>
    <row r="27" spans="4:13" x14ac:dyDescent="0.2">
      <c r="D27" s="14" t="s">
        <v>21</v>
      </c>
      <c r="E27" s="14"/>
      <c r="F27" s="2">
        <v>99</v>
      </c>
      <c r="G27" s="5">
        <v>1.1000000000000001</v>
      </c>
      <c r="H27" s="2">
        <f t="shared" si="1"/>
        <v>108.9</v>
      </c>
    </row>
    <row r="28" spans="4:13" x14ac:dyDescent="0.2">
      <c r="D28" s="14" t="s">
        <v>21</v>
      </c>
      <c r="E28" s="14"/>
      <c r="F28" s="2">
        <v>90</v>
      </c>
      <c r="G28" s="5">
        <v>1.1000000000000001</v>
      </c>
      <c r="H28" s="2">
        <f t="shared" si="1"/>
        <v>99.000000000000014</v>
      </c>
    </row>
    <row r="29" spans="4:13" x14ac:dyDescent="0.2">
      <c r="D29" s="14" t="s">
        <v>22</v>
      </c>
      <c r="E29" s="14"/>
      <c r="F29" s="2">
        <v>140</v>
      </c>
      <c r="G29" s="5">
        <v>1.1000000000000001</v>
      </c>
      <c r="H29" s="2">
        <f t="shared" si="1"/>
        <v>154</v>
      </c>
    </row>
    <row r="30" spans="4:13" x14ac:dyDescent="0.2">
      <c r="D30" s="14" t="s">
        <v>23</v>
      </c>
      <c r="E30" s="14"/>
      <c r="F30" s="2">
        <v>100</v>
      </c>
      <c r="G30" s="5">
        <v>1.1000000000000001</v>
      </c>
      <c r="H30" s="2">
        <f t="shared" si="1"/>
        <v>110.00000000000001</v>
      </c>
    </row>
    <row r="31" spans="4:13" x14ac:dyDescent="0.2">
      <c r="D31" s="14" t="s">
        <v>24</v>
      </c>
      <c r="E31" s="14"/>
      <c r="F31" s="2">
        <v>204</v>
      </c>
      <c r="G31" s="5">
        <v>1.1000000000000001</v>
      </c>
      <c r="H31" s="2">
        <f t="shared" si="1"/>
        <v>224.4</v>
      </c>
    </row>
    <row r="32" spans="4:13" x14ac:dyDescent="0.2">
      <c r="D32" s="1"/>
      <c r="E32" s="1"/>
      <c r="F32" s="1"/>
      <c r="G32" s="1"/>
      <c r="H32" s="1"/>
    </row>
    <row r="33" spans="4:8" x14ac:dyDescent="0.2">
      <c r="D33" s="1"/>
      <c r="E33" s="11" t="s">
        <v>26</v>
      </c>
      <c r="F33" s="11" t="s">
        <v>33</v>
      </c>
      <c r="G33" s="15" t="s">
        <v>27</v>
      </c>
      <c r="H33" s="27">
        <f>SUM(H26:H32)</f>
        <v>865.69999999999993</v>
      </c>
    </row>
    <row r="34" spans="4:8" x14ac:dyDescent="0.2">
      <c r="D34" s="1"/>
      <c r="E34" s="11"/>
      <c r="F34" s="11"/>
      <c r="G34" s="16"/>
      <c r="H34" s="27"/>
    </row>
    <row r="254" spans="28:28" x14ac:dyDescent="0.2">
      <c r="AB254">
        <f>SUM(J13:J19)</f>
        <v>1740</v>
      </c>
    </row>
    <row r="257" spans="27:30" x14ac:dyDescent="0.2">
      <c r="AD257">
        <f>SUM(J11:J19)</f>
        <v>2905.7</v>
      </c>
    </row>
    <row r="261" spans="27:30" x14ac:dyDescent="0.2">
      <c r="AA261">
        <f>SUM(F26:F31)</f>
        <v>787</v>
      </c>
      <c r="AB261">
        <f>SUM(H26:H31)</f>
        <v>865.69999999999993</v>
      </c>
    </row>
  </sheetData>
  <mergeCells count="35">
    <mergeCell ref="D2:E3"/>
    <mergeCell ref="F2:F3"/>
    <mergeCell ref="D4:E5"/>
    <mergeCell ref="F4:F5"/>
    <mergeCell ref="D8:D9"/>
    <mergeCell ref="E8:E9"/>
    <mergeCell ref="E21:E22"/>
    <mergeCell ref="F21:F22"/>
    <mergeCell ref="I21:I22"/>
    <mergeCell ref="J21:J22"/>
    <mergeCell ref="G8:G9"/>
    <mergeCell ref="H8:H9"/>
    <mergeCell ref="K6:K9"/>
    <mergeCell ref="H33:H34"/>
    <mergeCell ref="K21:K22"/>
    <mergeCell ref="I2:J3"/>
    <mergeCell ref="I4:J5"/>
    <mergeCell ref="G2:H3"/>
    <mergeCell ref="G4:H5"/>
    <mergeCell ref="F8:F9"/>
    <mergeCell ref="F33:F34"/>
    <mergeCell ref="D23:K24"/>
    <mergeCell ref="D25:E25"/>
    <mergeCell ref="D26:E26"/>
    <mergeCell ref="D27:E27"/>
    <mergeCell ref="D28:E28"/>
    <mergeCell ref="D29:E29"/>
    <mergeCell ref="D30:E30"/>
    <mergeCell ref="D31:E31"/>
    <mergeCell ref="E33:E34"/>
    <mergeCell ref="G33:G34"/>
    <mergeCell ref="I13:I19"/>
    <mergeCell ref="K13:K19"/>
    <mergeCell ref="I6:I9"/>
    <mergeCell ref="J6:J9"/>
  </mergeCells>
  <pageMargins left="1" right="1" top="1" bottom="1" header="0.5" footer="0.5"/>
  <pageSetup paperSize="9" scale="6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Rabbuni</dc:creator>
  <cp:lastModifiedBy>Isaac Rabbuni</cp:lastModifiedBy>
  <cp:lastPrinted>2024-07-01T22:00:52Z</cp:lastPrinted>
  <dcterms:created xsi:type="dcterms:W3CDTF">2024-07-01T18:27:38Z</dcterms:created>
  <dcterms:modified xsi:type="dcterms:W3CDTF">2024-07-17T17:21:36Z</dcterms:modified>
</cp:coreProperties>
</file>